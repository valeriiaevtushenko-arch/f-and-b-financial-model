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Workbook________" defaultThemeVersion="164011"/>
  <mc:AlternateContent xmlns:mc="http://schemas.openxmlformats.org/markup-compatibility/2006">
    <mc:Choice Requires="x15">
      <x15ac:absPath xmlns:x15ac="http://schemas.microsoft.com/office/spreadsheetml/2010/11/ac" url="C:\Users\konst\Documents\Лера Курсы\Looking for a new job\MODEL\FINAL 2026\"/>
    </mc:Choice>
  </mc:AlternateContent>
  <bookViews>
    <workbookView xWindow="0" yWindow="0" windowWidth="23040" windowHeight="9780" activeTab="1"/>
  </bookViews>
  <sheets>
    <sheet name="Cover" sheetId="6" r:id="rId1"/>
    <sheet name="Outputs" sheetId="2" r:id="rId2"/>
    <sheet name="Inputs" sheetId="5" r:id="rId3"/>
    <sheet name="Model" sheetId="3" r:id="rId4"/>
  </sheets>
  <definedNames>
    <definedName name="_xlchart.0" hidden="1">Outputs!$B$46:$B$54</definedName>
    <definedName name="_xlchart.1" hidden="1">Outputs!$I$44</definedName>
    <definedName name="_xlchart.2" hidden="1">Outputs!$I$46:$I$54</definedName>
    <definedName name="_xlchart.3" hidden="1">Outputs!$K$46:$K$54</definedName>
    <definedName name="_xlchart.4" hidden="1">Outputs!$O$44</definedName>
    <definedName name="_xlchart.5" hidden="1">Outputs!$O$46:$O$54</definedName>
    <definedName name="BalanceCheck">Model!$D$155:$AA$155</definedName>
  </definedNames>
  <calcPr calcId="162913" iterate="1" iterateDelta="1.0000000000000001E-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19" i="2" l="1"/>
  <c r="Z119" i="2"/>
  <c r="Y119" i="2"/>
  <c r="X119" i="2"/>
  <c r="W119" i="2"/>
  <c r="V119" i="2"/>
  <c r="U119" i="2"/>
  <c r="T119" i="2"/>
  <c r="S119" i="2"/>
  <c r="R119" i="2"/>
  <c r="Q119" i="2"/>
  <c r="P119" i="2"/>
  <c r="O119" i="2"/>
  <c r="N119" i="2"/>
  <c r="M119" i="2"/>
  <c r="L119" i="2"/>
  <c r="K119" i="2"/>
  <c r="J119" i="2"/>
  <c r="I119" i="2"/>
  <c r="H119" i="2"/>
  <c r="G119" i="2"/>
  <c r="F119" i="2"/>
  <c r="E119" i="2"/>
  <c r="D119" i="2"/>
  <c r="AA148" i="3" l="1"/>
  <c r="Z148" i="3"/>
  <c r="Y148" i="3"/>
  <c r="X148" i="3"/>
  <c r="W148" i="3"/>
  <c r="V148" i="3"/>
  <c r="U148" i="3"/>
  <c r="T148" i="3"/>
  <c r="S148" i="3"/>
  <c r="R148" i="3"/>
  <c r="Q148" i="3"/>
  <c r="P148" i="3"/>
  <c r="O148" i="3"/>
  <c r="N148" i="3"/>
  <c r="M148" i="3"/>
  <c r="L148" i="3"/>
  <c r="K148" i="3"/>
  <c r="J148" i="3"/>
  <c r="I148" i="3"/>
  <c r="H148" i="3"/>
  <c r="G148" i="3"/>
  <c r="F148" i="3"/>
  <c r="E148" i="3"/>
  <c r="D148" i="3"/>
  <c r="E203" i="3" l="1"/>
  <c r="F203" i="3"/>
  <c r="G203" i="3"/>
  <c r="H203" i="3"/>
  <c r="I203" i="3"/>
  <c r="J203" i="3"/>
  <c r="K203" i="3"/>
  <c r="L203" i="3"/>
  <c r="M203" i="3"/>
  <c r="N203" i="3"/>
  <c r="O203" i="3"/>
  <c r="P203" i="3"/>
  <c r="Q203" i="3"/>
  <c r="R203" i="3"/>
  <c r="S203" i="3"/>
  <c r="T203" i="3"/>
  <c r="U203" i="3"/>
  <c r="V203" i="3"/>
  <c r="W203" i="3"/>
  <c r="X203" i="3"/>
  <c r="Y203" i="3"/>
  <c r="Z203" i="3"/>
  <c r="AA203" i="3"/>
  <c r="D203" i="3"/>
  <c r="D171" i="3"/>
  <c r="AA191" i="3" l="1"/>
  <c r="Z191" i="3"/>
  <c r="Y191" i="3"/>
  <c r="X191" i="3"/>
  <c r="W191" i="3"/>
  <c r="V191" i="3"/>
  <c r="U191" i="3"/>
  <c r="T191" i="3"/>
  <c r="S191" i="3"/>
  <c r="R191" i="3"/>
  <c r="Q191" i="3"/>
  <c r="P191" i="3"/>
  <c r="O191" i="3"/>
  <c r="N191" i="3"/>
  <c r="M191" i="3"/>
  <c r="L191" i="3"/>
  <c r="K191" i="3"/>
  <c r="J191" i="3"/>
  <c r="I191" i="3"/>
  <c r="H191" i="3"/>
  <c r="G191" i="3"/>
  <c r="F191" i="3"/>
  <c r="E191" i="3"/>
  <c r="D191" i="3"/>
  <c r="AA175" i="3"/>
  <c r="Z175" i="3"/>
  <c r="Y175" i="3"/>
  <c r="X175" i="3"/>
  <c r="W175" i="3"/>
  <c r="V175" i="3"/>
  <c r="U175" i="3"/>
  <c r="T175" i="3"/>
  <c r="S175" i="3"/>
  <c r="R175" i="3"/>
  <c r="Q175" i="3"/>
  <c r="P175" i="3"/>
  <c r="O175" i="3"/>
  <c r="N175" i="3"/>
  <c r="M175" i="3"/>
  <c r="L175" i="3"/>
  <c r="K175" i="3"/>
  <c r="J175" i="3"/>
  <c r="I175" i="3"/>
  <c r="H175" i="3"/>
  <c r="G175" i="3"/>
  <c r="F175" i="3"/>
  <c r="E175" i="3"/>
  <c r="D175" i="3"/>
  <c r="D164" i="3"/>
  <c r="D187" i="3" s="1"/>
  <c r="E246" i="3" l="1"/>
  <c r="E237" i="3"/>
  <c r="E247" i="3" s="1"/>
  <c r="E243" i="3"/>
  <c r="E248" i="3" l="1"/>
  <c r="F144" i="2" s="1"/>
  <c r="AA23" i="3" l="1"/>
  <c r="AA97" i="3" s="1"/>
  <c r="Z23" i="3"/>
  <c r="Z97" i="3" s="1"/>
  <c r="Y23" i="3"/>
  <c r="Y97" i="3" s="1"/>
  <c r="X23" i="3"/>
  <c r="X97" i="3" s="1"/>
  <c r="W23" i="3"/>
  <c r="W97" i="3" s="1"/>
  <c r="V23" i="3"/>
  <c r="V97" i="3" s="1"/>
  <c r="U23" i="3"/>
  <c r="U97" i="3" s="1"/>
  <c r="T23" i="3"/>
  <c r="T97" i="3" s="1"/>
  <c r="S23" i="3"/>
  <c r="S97" i="3" s="1"/>
  <c r="R23" i="3"/>
  <c r="R97" i="3" s="1"/>
  <c r="Q23" i="3"/>
  <c r="Q97" i="3" s="1"/>
  <c r="P23" i="3"/>
  <c r="O23" i="3"/>
  <c r="O97" i="3" s="1"/>
  <c r="N23" i="3"/>
  <c r="N97" i="3" s="1"/>
  <c r="M23" i="3"/>
  <c r="M97" i="3" s="1"/>
  <c r="L23" i="3"/>
  <c r="L97" i="3" s="1"/>
  <c r="K23" i="3"/>
  <c r="K97" i="3" s="1"/>
  <c r="J23" i="3"/>
  <c r="J97" i="3" s="1"/>
  <c r="I23" i="3"/>
  <c r="I97" i="3" s="1"/>
  <c r="H23" i="3"/>
  <c r="H97" i="3" s="1"/>
  <c r="G23" i="3"/>
  <c r="G97" i="3" s="1"/>
  <c r="F23" i="3"/>
  <c r="F97" i="3" s="1"/>
  <c r="E23" i="3"/>
  <c r="E97" i="3" s="1"/>
  <c r="D23" i="3"/>
  <c r="D97" i="3" s="1"/>
  <c r="E128" i="5"/>
  <c r="D128" i="5"/>
  <c r="E127" i="5"/>
  <c r="D127" i="5"/>
  <c r="E126" i="5"/>
  <c r="D126" i="5"/>
  <c r="O47" i="2" l="1"/>
  <c r="P97" i="3"/>
  <c r="I50" i="2"/>
  <c r="Y85" i="2"/>
  <c r="Z85" i="2"/>
  <c r="AA85" i="2" l="1"/>
  <c r="V85" i="2"/>
  <c r="W85" i="2"/>
  <c r="X85" i="2"/>
  <c r="E85" i="2"/>
  <c r="F85" i="2"/>
  <c r="G85" i="2"/>
  <c r="H85" i="2"/>
  <c r="I85" i="2"/>
  <c r="J85" i="2"/>
  <c r="K85" i="2"/>
  <c r="L85" i="2"/>
  <c r="M85" i="2"/>
  <c r="N85" i="2"/>
  <c r="O85" i="2"/>
  <c r="P85" i="2"/>
  <c r="Q85" i="2"/>
  <c r="R85" i="2"/>
  <c r="S85" i="2"/>
  <c r="T85" i="2"/>
  <c r="U85" i="2"/>
  <c r="D85" i="2"/>
  <c r="E20" i="5" l="1"/>
  <c r="E21" i="5"/>
  <c r="D21" i="5"/>
  <c r="D20" i="5"/>
  <c r="H161" i="2" l="1"/>
  <c r="G161" i="2"/>
  <c r="F161" i="2"/>
  <c r="E161" i="2"/>
  <c r="D161" i="2"/>
  <c r="C6" i="5" l="1"/>
  <c r="D9" i="5" s="1"/>
  <c r="D19" i="5" l="1"/>
  <c r="D27" i="3" s="1"/>
  <c r="D116" i="5"/>
  <c r="D96" i="5"/>
  <c r="E111" i="5"/>
  <c r="E91" i="5"/>
  <c r="D111" i="5"/>
  <c r="D91" i="5"/>
  <c r="E106" i="5"/>
  <c r="E101" i="5"/>
  <c r="D121" i="5"/>
  <c r="D101" i="5"/>
  <c r="E116" i="5"/>
  <c r="E96" i="5"/>
  <c r="D106" i="5"/>
  <c r="E121" i="5"/>
  <c r="L14" i="2"/>
  <c r="K14" i="2"/>
  <c r="J14" i="2"/>
  <c r="I14" i="2"/>
  <c r="D5" i="2"/>
  <c r="D132" i="5"/>
  <c r="E167" i="5"/>
  <c r="E168" i="5"/>
  <c r="E169" i="5"/>
  <c r="D168" i="5"/>
  <c r="D169" i="5"/>
  <c r="D167" i="5"/>
  <c r="E85" i="5"/>
  <c r="E86" i="5"/>
  <c r="E87" i="5"/>
  <c r="D86" i="5"/>
  <c r="D87" i="5"/>
  <c r="D85" i="5"/>
  <c r="I27" i="3" l="1"/>
  <c r="H27" i="3"/>
  <c r="G27" i="3"/>
  <c r="N27" i="3"/>
  <c r="F27" i="3"/>
  <c r="O27" i="3"/>
  <c r="J27" i="3"/>
  <c r="M27" i="3"/>
  <c r="E27" i="3"/>
  <c r="L27" i="3"/>
  <c r="K27" i="3"/>
  <c r="M15" i="2"/>
  <c r="D147" i="5"/>
  <c r="D75" i="5"/>
  <c r="E147" i="5"/>
  <c r="E75" i="5"/>
  <c r="E157" i="5"/>
  <c r="D80" i="5"/>
  <c r="D162" i="5"/>
  <c r="E80" i="5"/>
  <c r="E162" i="5"/>
  <c r="E137" i="5"/>
  <c r="D142" i="5"/>
  <c r="E142" i="5"/>
  <c r="D152" i="5"/>
  <c r="E60" i="5"/>
  <c r="E132" i="5"/>
  <c r="E152" i="5"/>
  <c r="D60" i="5"/>
  <c r="D137" i="5"/>
  <c r="D157" i="5"/>
  <c r="D50" i="5"/>
  <c r="D12" i="3"/>
  <c r="E70" i="5"/>
  <c r="D70" i="5"/>
  <c r="E65" i="5"/>
  <c r="D65" i="5"/>
  <c r="E55" i="5"/>
  <c r="D55" i="5"/>
  <c r="E50" i="5"/>
  <c r="B4" i="3"/>
  <c r="E19" i="5" l="1"/>
  <c r="E148" i="2" s="1"/>
  <c r="N15" i="2" l="1"/>
  <c r="Y27" i="3"/>
  <c r="Q27" i="3"/>
  <c r="X27" i="3"/>
  <c r="P27" i="3"/>
  <c r="V27" i="3"/>
  <c r="R27" i="3"/>
  <c r="W27" i="3"/>
  <c r="U27" i="3"/>
  <c r="T27" i="3"/>
  <c r="AA27" i="3"/>
  <c r="S27" i="3"/>
  <c r="Z27" i="3"/>
  <c r="E14" i="5"/>
  <c r="D14" i="5"/>
  <c r="E9" i="5"/>
  <c r="O50" i="2" l="1"/>
  <c r="K12" i="3"/>
  <c r="K14" i="3" s="1"/>
  <c r="J12" i="3"/>
  <c r="J14" i="3" s="1"/>
  <c r="I12" i="3"/>
  <c r="I14" i="3" s="1"/>
  <c r="H12" i="3"/>
  <c r="H14" i="3" s="1"/>
  <c r="O12" i="3"/>
  <c r="O14" i="3" s="1"/>
  <c r="G12" i="3"/>
  <c r="G14" i="3" s="1"/>
  <c r="N12" i="3"/>
  <c r="N14" i="3" s="1"/>
  <c r="E12" i="3"/>
  <c r="E14" i="3" s="1"/>
  <c r="M12" i="3"/>
  <c r="M14" i="3" s="1"/>
  <c r="L12" i="3"/>
  <c r="L14" i="3" s="1"/>
  <c r="F12" i="3"/>
  <c r="F14" i="3" s="1"/>
  <c r="D14" i="3"/>
  <c r="AA12" i="3"/>
  <c r="AA14" i="3" s="1"/>
  <c r="S12" i="3"/>
  <c r="S14" i="3" s="1"/>
  <c r="Z12" i="3"/>
  <c r="Z14" i="3" s="1"/>
  <c r="R12" i="3"/>
  <c r="R14" i="3" s="1"/>
  <c r="Y12" i="3"/>
  <c r="Y14" i="3" s="1"/>
  <c r="Q12" i="3"/>
  <c r="Q14" i="3" s="1"/>
  <c r="X12" i="3"/>
  <c r="X14" i="3" s="1"/>
  <c r="P12" i="3"/>
  <c r="P14" i="3" s="1"/>
  <c r="W12" i="3"/>
  <c r="W14" i="3" s="1"/>
  <c r="V12" i="3"/>
  <c r="V14" i="3" s="1"/>
  <c r="U12" i="3"/>
  <c r="U14" i="3" s="1"/>
  <c r="T12" i="3"/>
  <c r="T14" i="3" s="1"/>
  <c r="E18" i="3"/>
  <c r="E20" i="3" s="1"/>
  <c r="M18" i="3"/>
  <c r="M20" i="3" s="1"/>
  <c r="F18" i="3"/>
  <c r="F20" i="3" s="1"/>
  <c r="N18" i="3"/>
  <c r="N20" i="3" s="1"/>
  <c r="G18" i="3"/>
  <c r="G20" i="3" s="1"/>
  <c r="O18" i="3"/>
  <c r="O20" i="3" s="1"/>
  <c r="H18" i="3"/>
  <c r="H20" i="3" s="1"/>
  <c r="I18" i="3"/>
  <c r="I20" i="3" s="1"/>
  <c r="J18" i="3"/>
  <c r="J20" i="3" s="1"/>
  <c r="K18" i="3"/>
  <c r="K20" i="3" s="1"/>
  <c r="L18" i="3"/>
  <c r="L20" i="3" s="1"/>
  <c r="D18" i="3"/>
  <c r="D20" i="3" s="1"/>
  <c r="U18" i="3"/>
  <c r="U20" i="3" s="1"/>
  <c r="V18" i="3"/>
  <c r="V20" i="3" s="1"/>
  <c r="W18" i="3"/>
  <c r="W20" i="3" s="1"/>
  <c r="P18" i="3"/>
  <c r="P20" i="3" s="1"/>
  <c r="X18" i="3"/>
  <c r="X20" i="3" s="1"/>
  <c r="Q18" i="3"/>
  <c r="Q20" i="3" s="1"/>
  <c r="Y18" i="3"/>
  <c r="Y20" i="3" s="1"/>
  <c r="Z18" i="3"/>
  <c r="Z20" i="3" s="1"/>
  <c r="S18" i="3"/>
  <c r="S20" i="3" s="1"/>
  <c r="AA18" i="3"/>
  <c r="AA20" i="3" s="1"/>
  <c r="R18" i="3"/>
  <c r="R20" i="3" s="1"/>
  <c r="T18" i="3"/>
  <c r="T20" i="3" s="1"/>
  <c r="N12" i="2" l="1"/>
  <c r="D104" i="3"/>
  <c r="D131" i="3" s="1"/>
  <c r="O213" i="3"/>
  <c r="O217" i="3" s="1"/>
  <c r="O127" i="3" s="1"/>
  <c r="H213" i="3"/>
  <c r="H217" i="3" s="1"/>
  <c r="H127" i="3" s="1"/>
  <c r="V213" i="3"/>
  <c r="V217" i="3" s="1"/>
  <c r="V127" i="3" s="1"/>
  <c r="Q213" i="3"/>
  <c r="Q217" i="3" s="1"/>
  <c r="Q127" i="3" s="1"/>
  <c r="J213" i="3"/>
  <c r="J217" i="3" s="1"/>
  <c r="J127" i="3" s="1"/>
  <c r="S213" i="3"/>
  <c r="S217" i="3" s="1"/>
  <c r="S127" i="3" s="1"/>
  <c r="I213" i="3"/>
  <c r="I217" i="3" s="1"/>
  <c r="I127" i="3" s="1"/>
  <c r="AA213" i="3"/>
  <c r="AA217" i="3" s="1"/>
  <c r="AA127" i="3" s="1"/>
  <c r="X213" i="3"/>
  <c r="X217" i="3" s="1"/>
  <c r="X127" i="3" s="1"/>
  <c r="E213" i="3"/>
  <c r="E217" i="3" s="1"/>
  <c r="E127" i="3" s="1"/>
  <c r="G213" i="3"/>
  <c r="G217" i="3" s="1"/>
  <c r="G127" i="3" s="1"/>
  <c r="U213" i="3"/>
  <c r="U217" i="3" s="1"/>
  <c r="U127" i="3" s="1"/>
  <c r="Z213" i="3"/>
  <c r="Z217" i="3" s="1"/>
  <c r="Z127" i="3" s="1"/>
  <c r="N213" i="3"/>
  <c r="N217" i="3" s="1"/>
  <c r="N127" i="3" s="1"/>
  <c r="W104" i="3"/>
  <c r="W105" i="3" s="1"/>
  <c r="W189" i="3" s="1"/>
  <c r="W213" i="3"/>
  <c r="W217" i="3" s="1"/>
  <c r="W127" i="3" s="1"/>
  <c r="P104" i="3"/>
  <c r="P213" i="3"/>
  <c r="P217" i="3" s="1"/>
  <c r="P127" i="3" s="1"/>
  <c r="D213" i="3"/>
  <c r="D217" i="3" s="1"/>
  <c r="D127" i="3" s="1"/>
  <c r="L104" i="3"/>
  <c r="L105" i="3" s="1"/>
  <c r="L189" i="3" s="1"/>
  <c r="L213" i="3"/>
  <c r="L217" i="3" s="1"/>
  <c r="L127" i="3" s="1"/>
  <c r="Y104" i="3"/>
  <c r="Y105" i="3" s="1"/>
  <c r="Y189" i="3" s="1"/>
  <c r="Y213" i="3"/>
  <c r="Y217" i="3" s="1"/>
  <c r="Y127" i="3" s="1"/>
  <c r="F104" i="3"/>
  <c r="F105" i="3" s="1"/>
  <c r="F189" i="3" s="1"/>
  <c r="F213" i="3"/>
  <c r="F217" i="3" s="1"/>
  <c r="F127" i="3" s="1"/>
  <c r="K104" i="3"/>
  <c r="K105" i="3" s="1"/>
  <c r="K189" i="3" s="1"/>
  <c r="K213" i="3"/>
  <c r="K217" i="3" s="1"/>
  <c r="K127" i="3" s="1"/>
  <c r="T104" i="3"/>
  <c r="T105" i="3" s="1"/>
  <c r="T189" i="3" s="1"/>
  <c r="T213" i="3"/>
  <c r="T217" i="3" s="1"/>
  <c r="T127" i="3" s="1"/>
  <c r="R104" i="3"/>
  <c r="R105" i="3" s="1"/>
  <c r="R189" i="3" s="1"/>
  <c r="R213" i="3"/>
  <c r="R217" i="3" s="1"/>
  <c r="R127" i="3" s="1"/>
  <c r="M104" i="3"/>
  <c r="M105" i="3" s="1"/>
  <c r="M189" i="3" s="1"/>
  <c r="M213" i="3"/>
  <c r="M217" i="3" s="1"/>
  <c r="M127" i="3" s="1"/>
  <c r="G104" i="3"/>
  <c r="G105" i="3" s="1"/>
  <c r="G189" i="3" s="1"/>
  <c r="AA104" i="3"/>
  <c r="AA105" i="3" s="1"/>
  <c r="AA189" i="3" s="1"/>
  <c r="O104" i="3"/>
  <c r="O105" i="3" s="1"/>
  <c r="O189" i="3" s="1"/>
  <c r="U104" i="3"/>
  <c r="U105" i="3" s="1"/>
  <c r="U189" i="3" s="1"/>
  <c r="V104" i="3"/>
  <c r="V105" i="3" s="1"/>
  <c r="V189" i="3" s="1"/>
  <c r="S104" i="3"/>
  <c r="S105" i="3" s="1"/>
  <c r="S189" i="3" s="1"/>
  <c r="H104" i="3"/>
  <c r="H105" i="3" s="1"/>
  <c r="H189" i="3" s="1"/>
  <c r="I104" i="3"/>
  <c r="I105" i="3" s="1"/>
  <c r="I189" i="3" s="1"/>
  <c r="Q104" i="3"/>
  <c r="Q105" i="3" s="1"/>
  <c r="Q189" i="3" s="1"/>
  <c r="J104" i="3"/>
  <c r="J105" i="3" s="1"/>
  <c r="J189" i="3" s="1"/>
  <c r="X104" i="3"/>
  <c r="X105" i="3" s="1"/>
  <c r="X189" i="3" s="1"/>
  <c r="E104" i="3"/>
  <c r="E105" i="3" s="1"/>
  <c r="E189" i="3" s="1"/>
  <c r="Z104" i="3"/>
  <c r="Z105" i="3" s="1"/>
  <c r="Z189" i="3" s="1"/>
  <c r="N104" i="3"/>
  <c r="N105" i="3" s="1"/>
  <c r="N189" i="3" s="1"/>
  <c r="V15" i="3"/>
  <c r="S15" i="3"/>
  <c r="G15" i="3"/>
  <c r="I15" i="3"/>
  <c r="Q15" i="3"/>
  <c r="J15" i="3"/>
  <c r="AA15" i="3"/>
  <c r="H15" i="3"/>
  <c r="E15" i="3"/>
  <c r="O15" i="3"/>
  <c r="X15" i="3"/>
  <c r="U15" i="3"/>
  <c r="Z15" i="3"/>
  <c r="N15" i="3"/>
  <c r="I46" i="2"/>
  <c r="I48" i="2"/>
  <c r="P15" i="3"/>
  <c r="D15" i="3"/>
  <c r="F15" i="3"/>
  <c r="W15" i="3"/>
  <c r="L15" i="3"/>
  <c r="Y15" i="3"/>
  <c r="M15" i="3"/>
  <c r="K15" i="3"/>
  <c r="T15" i="3"/>
  <c r="R15" i="3"/>
  <c r="M12" i="2"/>
  <c r="R73" i="3"/>
  <c r="R74" i="3"/>
  <c r="R68" i="3"/>
  <c r="R69" i="3"/>
  <c r="R70" i="3"/>
  <c r="R71" i="3"/>
  <c r="R72" i="3"/>
  <c r="Z40" i="3"/>
  <c r="Z41" i="3"/>
  <c r="Z35" i="3"/>
  <c r="Z36" i="3"/>
  <c r="Z37" i="3"/>
  <c r="Z38" i="3"/>
  <c r="Z39" i="3"/>
  <c r="T68" i="3"/>
  <c r="T69" i="3"/>
  <c r="T70" i="3"/>
  <c r="T71" i="3"/>
  <c r="T72" i="3"/>
  <c r="T73" i="3"/>
  <c r="T74" i="3"/>
  <c r="T35" i="3"/>
  <c r="T36" i="3"/>
  <c r="T37" i="3"/>
  <c r="T38" i="3"/>
  <c r="T39" i="3"/>
  <c r="T40" i="3"/>
  <c r="T41" i="3"/>
  <c r="W70" i="3"/>
  <c r="W71" i="3"/>
  <c r="W72" i="3"/>
  <c r="W73" i="3"/>
  <c r="W74" i="3"/>
  <c r="W68" i="3"/>
  <c r="W69" i="3"/>
  <c r="N36" i="3"/>
  <c r="N37" i="3"/>
  <c r="N38" i="3"/>
  <c r="N39" i="3"/>
  <c r="N40" i="3"/>
  <c r="N41" i="3"/>
  <c r="N35" i="3"/>
  <c r="V36" i="3"/>
  <c r="V37" i="3"/>
  <c r="V38" i="3"/>
  <c r="V39" i="3"/>
  <c r="V40" i="3"/>
  <c r="V41" i="3"/>
  <c r="V35" i="3"/>
  <c r="U68" i="3"/>
  <c r="U69" i="3"/>
  <c r="U70" i="3"/>
  <c r="U71" i="3"/>
  <c r="U72" i="3"/>
  <c r="U73" i="3"/>
  <c r="U74" i="3"/>
  <c r="N69" i="3"/>
  <c r="N70" i="3"/>
  <c r="N71" i="3"/>
  <c r="N72" i="3"/>
  <c r="N73" i="3"/>
  <c r="N74" i="3"/>
  <c r="N68" i="3"/>
  <c r="I72" i="3"/>
  <c r="I73" i="3"/>
  <c r="I74" i="3"/>
  <c r="I68" i="3"/>
  <c r="I69" i="3"/>
  <c r="I70" i="3"/>
  <c r="I71" i="3"/>
  <c r="E35" i="3"/>
  <c r="E36" i="3"/>
  <c r="E37" i="3"/>
  <c r="E38" i="3"/>
  <c r="E39" i="3"/>
  <c r="E40" i="3"/>
  <c r="E41" i="3"/>
  <c r="H71" i="3"/>
  <c r="H72" i="3"/>
  <c r="H73" i="3"/>
  <c r="H74" i="3"/>
  <c r="H68" i="3"/>
  <c r="H69" i="3"/>
  <c r="H70" i="3"/>
  <c r="AA74" i="3"/>
  <c r="AA68" i="3"/>
  <c r="AA69" i="3"/>
  <c r="AA70" i="3"/>
  <c r="AA71" i="3"/>
  <c r="AA72" i="3"/>
  <c r="AA73" i="3"/>
  <c r="O70" i="3"/>
  <c r="O71" i="3"/>
  <c r="O72" i="3"/>
  <c r="O73" i="3"/>
  <c r="O74" i="3"/>
  <c r="O68" i="3"/>
  <c r="O69" i="3"/>
  <c r="S74" i="3"/>
  <c r="S68" i="3"/>
  <c r="S69" i="3"/>
  <c r="S70" i="3"/>
  <c r="S71" i="3"/>
  <c r="S72" i="3"/>
  <c r="S73" i="3"/>
  <c r="W37" i="3"/>
  <c r="W38" i="3"/>
  <c r="W35" i="3"/>
  <c r="W39" i="3"/>
  <c r="W40" i="3"/>
  <c r="W41" i="3"/>
  <c r="W36" i="3"/>
  <c r="O37" i="3"/>
  <c r="O38" i="3"/>
  <c r="O35" i="3"/>
  <c r="O39" i="3"/>
  <c r="O40" i="3"/>
  <c r="O41" i="3"/>
  <c r="O36" i="3"/>
  <c r="D74" i="3"/>
  <c r="D73" i="3"/>
  <c r="D72" i="3"/>
  <c r="D71" i="3"/>
  <c r="D70" i="3"/>
  <c r="D69" i="3"/>
  <c r="D68" i="3"/>
  <c r="D41" i="3"/>
  <c r="D40" i="3"/>
  <c r="D39" i="3"/>
  <c r="D36" i="3"/>
  <c r="D38" i="3"/>
  <c r="D35" i="3"/>
  <c r="D37" i="3"/>
  <c r="Y72" i="3"/>
  <c r="Y73" i="3"/>
  <c r="Y74" i="3"/>
  <c r="Y68" i="3"/>
  <c r="Y69" i="3"/>
  <c r="Y70" i="3"/>
  <c r="Y71" i="3"/>
  <c r="F69" i="3"/>
  <c r="F70" i="3"/>
  <c r="F71" i="3"/>
  <c r="F72" i="3"/>
  <c r="F73" i="3"/>
  <c r="F74" i="3"/>
  <c r="F68" i="3"/>
  <c r="F36" i="3"/>
  <c r="F37" i="3"/>
  <c r="F38" i="3"/>
  <c r="F39" i="3"/>
  <c r="F40" i="3"/>
  <c r="F41" i="3"/>
  <c r="F35" i="3"/>
  <c r="Q72" i="3"/>
  <c r="Q73" i="3"/>
  <c r="Q74" i="3"/>
  <c r="Q68" i="3"/>
  <c r="Q69" i="3"/>
  <c r="Q70" i="3"/>
  <c r="Q71" i="3"/>
  <c r="M68" i="3"/>
  <c r="M69" i="3"/>
  <c r="M70" i="3"/>
  <c r="M71" i="3"/>
  <c r="M72" i="3"/>
  <c r="M73" i="3"/>
  <c r="M74" i="3"/>
  <c r="J40" i="3"/>
  <c r="J41" i="3"/>
  <c r="J36" i="3"/>
  <c r="J35" i="3"/>
  <c r="J37" i="3"/>
  <c r="J38" i="3"/>
  <c r="J39" i="3"/>
  <c r="P71" i="3"/>
  <c r="P72" i="3"/>
  <c r="P73" i="3"/>
  <c r="P74" i="3"/>
  <c r="P68" i="3"/>
  <c r="P69" i="3"/>
  <c r="P70" i="3"/>
  <c r="R40" i="3"/>
  <c r="R41" i="3"/>
  <c r="R35" i="3"/>
  <c r="R36" i="3"/>
  <c r="R37" i="3"/>
  <c r="R38" i="3"/>
  <c r="R39" i="3"/>
  <c r="U35" i="3"/>
  <c r="U36" i="3"/>
  <c r="U37" i="3"/>
  <c r="U38" i="3"/>
  <c r="U39" i="3"/>
  <c r="U40" i="3"/>
  <c r="U41" i="3"/>
  <c r="V69" i="3"/>
  <c r="V70" i="3"/>
  <c r="V71" i="3"/>
  <c r="V72" i="3"/>
  <c r="V73" i="3"/>
  <c r="V74" i="3"/>
  <c r="V68" i="3"/>
  <c r="S41" i="3"/>
  <c r="S35" i="3"/>
  <c r="S36" i="3"/>
  <c r="S37" i="3"/>
  <c r="S38" i="3"/>
  <c r="S39" i="3"/>
  <c r="S40" i="3"/>
  <c r="G37" i="3"/>
  <c r="G38" i="3"/>
  <c r="G39" i="3"/>
  <c r="G40" i="3"/>
  <c r="G41" i="3"/>
  <c r="G35" i="3"/>
  <c r="G36" i="3"/>
  <c r="G70" i="3"/>
  <c r="G71" i="3"/>
  <c r="G72" i="3"/>
  <c r="G73" i="3"/>
  <c r="G74" i="3"/>
  <c r="G68" i="3"/>
  <c r="G69" i="3"/>
  <c r="AA41" i="3"/>
  <c r="AA35" i="3"/>
  <c r="AA36" i="3"/>
  <c r="AA37" i="3"/>
  <c r="AA38" i="3"/>
  <c r="AA39" i="3"/>
  <c r="AA40" i="3"/>
  <c r="Z73" i="3"/>
  <c r="Z74" i="3"/>
  <c r="Z68" i="3"/>
  <c r="Z69" i="3"/>
  <c r="Z70" i="3"/>
  <c r="Z71" i="3"/>
  <c r="Z72" i="3"/>
  <c r="P38" i="3"/>
  <c r="P39" i="3"/>
  <c r="P40" i="3"/>
  <c r="P36" i="3"/>
  <c r="P41" i="3"/>
  <c r="P35" i="3"/>
  <c r="P37" i="3"/>
  <c r="H38" i="3"/>
  <c r="H39" i="3"/>
  <c r="H40" i="3"/>
  <c r="H41" i="3"/>
  <c r="H36" i="3"/>
  <c r="H35" i="3"/>
  <c r="H37" i="3"/>
  <c r="L68" i="3"/>
  <c r="L69" i="3"/>
  <c r="L70" i="3"/>
  <c r="L71" i="3"/>
  <c r="L72" i="3"/>
  <c r="L73" i="3"/>
  <c r="L74" i="3"/>
  <c r="X38" i="3"/>
  <c r="X39" i="3"/>
  <c r="X40" i="3"/>
  <c r="X41" i="3"/>
  <c r="X36" i="3"/>
  <c r="X35" i="3"/>
  <c r="X37" i="3"/>
  <c r="I39" i="3"/>
  <c r="I40" i="3"/>
  <c r="I41" i="3"/>
  <c r="I35" i="3"/>
  <c r="I36" i="3"/>
  <c r="I37" i="3"/>
  <c r="I38" i="3"/>
  <c r="K74" i="3"/>
  <c r="K68" i="3"/>
  <c r="K69" i="3"/>
  <c r="K70" i="3"/>
  <c r="K71" i="3"/>
  <c r="K72" i="3"/>
  <c r="K73" i="3"/>
  <c r="Q39" i="3"/>
  <c r="Q40" i="3"/>
  <c r="Q41" i="3"/>
  <c r="Q37" i="3"/>
  <c r="Q35" i="3"/>
  <c r="Q36" i="3"/>
  <c r="Q38" i="3"/>
  <c r="L35" i="3"/>
  <c r="L36" i="3"/>
  <c r="L37" i="3"/>
  <c r="L38" i="3"/>
  <c r="L39" i="3"/>
  <c r="L40" i="3"/>
  <c r="L41" i="3"/>
  <c r="X71" i="3"/>
  <c r="X72" i="3"/>
  <c r="X73" i="3"/>
  <c r="X74" i="3"/>
  <c r="X68" i="3"/>
  <c r="X69" i="3"/>
  <c r="X70" i="3"/>
  <c r="J73" i="3"/>
  <c r="J74" i="3"/>
  <c r="J68" i="3"/>
  <c r="J69" i="3"/>
  <c r="J70" i="3"/>
  <c r="J71" i="3"/>
  <c r="J72" i="3"/>
  <c r="E68" i="3"/>
  <c r="E69" i="3"/>
  <c r="E70" i="3"/>
  <c r="E71" i="3"/>
  <c r="E72" i="3"/>
  <c r="E73" i="3"/>
  <c r="E74" i="3"/>
  <c r="Y39" i="3"/>
  <c r="Y40" i="3"/>
  <c r="Y41" i="3"/>
  <c r="Y35" i="3"/>
  <c r="Y36" i="3"/>
  <c r="Y37" i="3"/>
  <c r="Y38" i="3"/>
  <c r="M35" i="3"/>
  <c r="M36" i="3"/>
  <c r="M37" i="3"/>
  <c r="M38" i="3"/>
  <c r="M39" i="3"/>
  <c r="M40" i="3"/>
  <c r="M41" i="3"/>
  <c r="K41" i="3"/>
  <c r="K35" i="3"/>
  <c r="K36" i="3"/>
  <c r="K37" i="3"/>
  <c r="K38" i="3"/>
  <c r="K39" i="3"/>
  <c r="K40" i="3"/>
  <c r="O48" i="2" l="1"/>
  <c r="M13" i="2"/>
  <c r="N13" i="2"/>
  <c r="G175" i="2"/>
  <c r="G172" i="2"/>
  <c r="G171" i="2"/>
  <c r="G169" i="2"/>
  <c r="G174" i="2"/>
  <c r="G173" i="2"/>
  <c r="G170" i="2"/>
  <c r="P105" i="3"/>
  <c r="P189" i="3" s="1"/>
  <c r="E131" i="3"/>
  <c r="F131" i="3" s="1"/>
  <c r="G131" i="3" s="1"/>
  <c r="H131" i="3" s="1"/>
  <c r="I131" i="3" s="1"/>
  <c r="J131" i="3" s="1"/>
  <c r="K131" i="3" s="1"/>
  <c r="L131" i="3" s="1"/>
  <c r="M131" i="3" s="1"/>
  <c r="N131" i="3" s="1"/>
  <c r="O131" i="3" s="1"/>
  <c r="P131" i="3" s="1"/>
  <c r="Q131" i="3" s="1"/>
  <c r="R131" i="3" s="1"/>
  <c r="S131" i="3" s="1"/>
  <c r="T131" i="3" s="1"/>
  <c r="U131" i="3" s="1"/>
  <c r="V131" i="3" s="1"/>
  <c r="W131" i="3" s="1"/>
  <c r="X131" i="3" s="1"/>
  <c r="Y131" i="3" s="1"/>
  <c r="Z131" i="3" s="1"/>
  <c r="AA131" i="3" s="1"/>
  <c r="D105" i="3"/>
  <c r="D189" i="3" s="1"/>
  <c r="M214" i="3"/>
  <c r="M218" i="3" s="1"/>
  <c r="M128" i="3"/>
  <c r="M138" i="3"/>
  <c r="V128" i="3"/>
  <c r="V138" i="3"/>
  <c r="Y214" i="3"/>
  <c r="Y219" i="3" s="1"/>
  <c r="Y138" i="3"/>
  <c r="Y128" i="3"/>
  <c r="H138" i="3"/>
  <c r="H128" i="3"/>
  <c r="L214" i="3"/>
  <c r="L219" i="3" s="1"/>
  <c r="L128" i="3"/>
  <c r="L138" i="3"/>
  <c r="AA138" i="3"/>
  <c r="AA128" i="3"/>
  <c r="W214" i="3"/>
  <c r="W218" i="3" s="1"/>
  <c r="W128" i="3"/>
  <c r="W138" i="3"/>
  <c r="J128" i="3"/>
  <c r="J138" i="3"/>
  <c r="R214" i="3"/>
  <c r="R218" i="3" s="1"/>
  <c r="R128" i="3"/>
  <c r="R138" i="3"/>
  <c r="D214" i="3"/>
  <c r="D219" i="3" s="1"/>
  <c r="D226" i="3" s="1"/>
  <c r="D100" i="3" s="1"/>
  <c r="D128" i="3"/>
  <c r="U138" i="3"/>
  <c r="U128" i="3"/>
  <c r="I138" i="3"/>
  <c r="I128" i="3"/>
  <c r="E128" i="3"/>
  <c r="E138" i="3"/>
  <c r="Z128" i="3"/>
  <c r="Z138" i="3"/>
  <c r="T214" i="3"/>
  <c r="T219" i="3" s="1"/>
  <c r="T128" i="3"/>
  <c r="T138" i="3"/>
  <c r="P214" i="3"/>
  <c r="P219" i="3" s="1"/>
  <c r="P138" i="3"/>
  <c r="P128" i="3"/>
  <c r="X138" i="3"/>
  <c r="X128" i="3"/>
  <c r="G128" i="3"/>
  <c r="G138" i="3"/>
  <c r="N128" i="3"/>
  <c r="N138" i="3"/>
  <c r="F214" i="3"/>
  <c r="F219" i="3" s="1"/>
  <c r="F128" i="3"/>
  <c r="F138" i="3"/>
  <c r="Q138" i="3"/>
  <c r="Q128" i="3"/>
  <c r="K214" i="3"/>
  <c r="K218" i="3" s="1"/>
  <c r="K138" i="3"/>
  <c r="K128" i="3"/>
  <c r="O128" i="3"/>
  <c r="O138" i="3"/>
  <c r="S128" i="3"/>
  <c r="S138" i="3"/>
  <c r="O224" i="3"/>
  <c r="O98" i="3" s="1"/>
  <c r="I224" i="3"/>
  <c r="I98" i="3" s="1"/>
  <c r="H224" i="3"/>
  <c r="H98" i="3" s="1"/>
  <c r="J224" i="3"/>
  <c r="J98" i="3" s="1"/>
  <c r="V224" i="3"/>
  <c r="V98" i="3" s="1"/>
  <c r="N224" i="3"/>
  <c r="N98" i="3" s="1"/>
  <c r="G224" i="3"/>
  <c r="G98" i="3" s="1"/>
  <c r="U224" i="3"/>
  <c r="U98" i="3" s="1"/>
  <c r="Q224" i="3"/>
  <c r="Q98" i="3" s="1"/>
  <c r="AA224" i="3"/>
  <c r="AA98" i="3" s="1"/>
  <c r="M224" i="3"/>
  <c r="M98" i="3" s="1"/>
  <c r="K224" i="3"/>
  <c r="K98" i="3" s="1"/>
  <c r="S224" i="3"/>
  <c r="S98" i="3" s="1"/>
  <c r="Z224" i="3"/>
  <c r="Z98" i="3" s="1"/>
  <c r="X224" i="3"/>
  <c r="X98" i="3" s="1"/>
  <c r="R224" i="3"/>
  <c r="R98" i="3" s="1"/>
  <c r="F224" i="3"/>
  <c r="F98" i="3" s="1"/>
  <c r="P224" i="3"/>
  <c r="P98" i="3" s="1"/>
  <c r="Y224" i="3"/>
  <c r="Y98" i="3" s="1"/>
  <c r="L224" i="3"/>
  <c r="L98" i="3" s="1"/>
  <c r="D224" i="3"/>
  <c r="D98" i="3" s="1"/>
  <c r="E224" i="3"/>
  <c r="E98" i="3" s="1"/>
  <c r="W224" i="3"/>
  <c r="W98" i="3" s="1"/>
  <c r="T224" i="3"/>
  <c r="T98" i="3" s="1"/>
  <c r="N50" i="3"/>
  <c r="N61" i="3" s="1"/>
  <c r="N83" i="3" s="1"/>
  <c r="N214" i="3"/>
  <c r="U47" i="3"/>
  <c r="U58" i="3" s="1"/>
  <c r="U80" i="3" s="1"/>
  <c r="U214" i="3"/>
  <c r="Y218" i="3"/>
  <c r="H49" i="3"/>
  <c r="H60" i="3" s="1"/>
  <c r="H82" i="3" s="1"/>
  <c r="H214" i="3"/>
  <c r="I50" i="3"/>
  <c r="I61" i="3" s="1"/>
  <c r="I83" i="3" s="1"/>
  <c r="I214" i="3"/>
  <c r="L218" i="3"/>
  <c r="X47" i="3"/>
  <c r="X58" i="3" s="1"/>
  <c r="X80" i="3" s="1"/>
  <c r="X214" i="3"/>
  <c r="AA51" i="3"/>
  <c r="AA62" i="3" s="1"/>
  <c r="AA84" i="3" s="1"/>
  <c r="AA214" i="3"/>
  <c r="G46" i="3"/>
  <c r="G57" i="3" s="1"/>
  <c r="G79" i="3" s="1"/>
  <c r="G214" i="3"/>
  <c r="O50" i="3"/>
  <c r="O61" i="3" s="1"/>
  <c r="O83" i="3" s="1"/>
  <c r="O214" i="3"/>
  <c r="J51" i="3"/>
  <c r="J62" i="3" s="1"/>
  <c r="J84" i="3" s="1"/>
  <c r="J214" i="3"/>
  <c r="S48" i="3"/>
  <c r="S59" i="3" s="1"/>
  <c r="S81" i="3" s="1"/>
  <c r="S214" i="3"/>
  <c r="Z52" i="3"/>
  <c r="Z63" i="3" s="1"/>
  <c r="Z85" i="3" s="1"/>
  <c r="Z214" i="3"/>
  <c r="E16" i="3"/>
  <c r="E21" i="3" s="1"/>
  <c r="E122" i="2" s="1"/>
  <c r="E214" i="3"/>
  <c r="Q16" i="3"/>
  <c r="Q21" i="3" s="1"/>
  <c r="Q214" i="3"/>
  <c r="V16" i="3"/>
  <c r="V21" i="3" s="1"/>
  <c r="V214" i="3"/>
  <c r="Q49" i="3"/>
  <c r="Q60" i="3" s="1"/>
  <c r="Q82" i="3" s="1"/>
  <c r="V52" i="3"/>
  <c r="V63" i="3" s="1"/>
  <c r="V85" i="3" s="1"/>
  <c r="E46" i="3"/>
  <c r="E57" i="3" s="1"/>
  <c r="E79" i="3" s="1"/>
  <c r="N48" i="3"/>
  <c r="N59" i="3" s="1"/>
  <c r="N81" i="3" s="1"/>
  <c r="Z51" i="3"/>
  <c r="Z62" i="3" s="1"/>
  <c r="Z84" i="3" s="1"/>
  <c r="U16" i="3"/>
  <c r="U21" i="3" s="1"/>
  <c r="J49" i="3"/>
  <c r="J60" i="3" s="1"/>
  <c r="J82" i="3" s="1"/>
  <c r="V47" i="3"/>
  <c r="V58" i="3" s="1"/>
  <c r="V80" i="3" s="1"/>
  <c r="N46" i="3"/>
  <c r="N57" i="3" s="1"/>
  <c r="N79" i="3" s="1"/>
  <c r="E49" i="3"/>
  <c r="E60" i="3" s="1"/>
  <c r="E82" i="3" s="1"/>
  <c r="N16" i="3"/>
  <c r="N21" i="3" s="1"/>
  <c r="N122" i="2" s="1"/>
  <c r="Q50" i="3"/>
  <c r="Q61" i="3" s="1"/>
  <c r="Q83" i="3" s="1"/>
  <c r="V46" i="3"/>
  <c r="V57" i="3" s="1"/>
  <c r="V79" i="3" s="1"/>
  <c r="E51" i="3"/>
  <c r="E62" i="3" s="1"/>
  <c r="E84" i="3" s="1"/>
  <c r="Q47" i="3"/>
  <c r="Q58" i="3" s="1"/>
  <c r="Q80" i="3" s="1"/>
  <c r="V49" i="3"/>
  <c r="V60" i="3" s="1"/>
  <c r="V82" i="3" s="1"/>
  <c r="E48" i="3"/>
  <c r="E59" i="3" s="1"/>
  <c r="E81" i="3" s="1"/>
  <c r="Q52" i="3"/>
  <c r="Q63" i="3" s="1"/>
  <c r="Q85" i="3" s="1"/>
  <c r="V51" i="3"/>
  <c r="E52" i="3"/>
  <c r="E63" i="3" s="1"/>
  <c r="E85" i="3" s="1"/>
  <c r="Q48" i="3"/>
  <c r="Q59" i="3" s="1"/>
  <c r="Q81" i="3" s="1"/>
  <c r="V50" i="3"/>
  <c r="V61" i="3" s="1"/>
  <c r="V83" i="3" s="1"/>
  <c r="E50" i="3"/>
  <c r="Q46" i="3"/>
  <c r="Q57" i="3" s="1"/>
  <c r="Q79" i="3" s="1"/>
  <c r="V48" i="3"/>
  <c r="V59" i="3" s="1"/>
  <c r="E47" i="3"/>
  <c r="E58" i="3" s="1"/>
  <c r="E80" i="3" s="1"/>
  <c r="Q51" i="3"/>
  <c r="Q62" i="3" s="1"/>
  <c r="Q84" i="3" s="1"/>
  <c r="S46" i="3"/>
  <c r="S57" i="3" s="1"/>
  <c r="S79" i="3" s="1"/>
  <c r="J46" i="3"/>
  <c r="J57" i="3" s="1"/>
  <c r="J79" i="3" s="1"/>
  <c r="Z47" i="3"/>
  <c r="Z58" i="3" s="1"/>
  <c r="Z80" i="3" s="1"/>
  <c r="Z49" i="3"/>
  <c r="Z60" i="3" s="1"/>
  <c r="Z82" i="3" s="1"/>
  <c r="O48" i="3"/>
  <c r="O59" i="3" s="1"/>
  <c r="O81" i="3" s="1"/>
  <c r="S49" i="3"/>
  <c r="S60" i="3" s="1"/>
  <c r="S82" i="3" s="1"/>
  <c r="U51" i="3"/>
  <c r="U62" i="3" s="1"/>
  <c r="U84" i="3" s="1"/>
  <c r="U52" i="3"/>
  <c r="U63" i="3" s="1"/>
  <c r="U85" i="3" s="1"/>
  <c r="U49" i="3"/>
  <c r="U60" i="3" s="1"/>
  <c r="U82" i="3" s="1"/>
  <c r="U46" i="3"/>
  <c r="U57" i="3" s="1"/>
  <c r="U79" i="3" s="1"/>
  <c r="U48" i="3"/>
  <c r="U59" i="3" s="1"/>
  <c r="U81" i="3" s="1"/>
  <c r="U50" i="3"/>
  <c r="U61" i="3" s="1"/>
  <c r="U83" i="3" s="1"/>
  <c r="J52" i="3"/>
  <c r="J63" i="3" s="1"/>
  <c r="J85" i="3" s="1"/>
  <c r="AA49" i="3"/>
  <c r="AA60" i="3" s="1"/>
  <c r="AA82" i="3" s="1"/>
  <c r="N49" i="3"/>
  <c r="N60" i="3" s="1"/>
  <c r="N82" i="3" s="1"/>
  <c r="S51" i="3"/>
  <c r="S62" i="3" s="1"/>
  <c r="S84" i="3" s="1"/>
  <c r="N52" i="3"/>
  <c r="N63" i="3" s="1"/>
  <c r="N85" i="3" s="1"/>
  <c r="G50" i="3"/>
  <c r="G61" i="3" s="1"/>
  <c r="G83" i="3" s="1"/>
  <c r="AA48" i="3"/>
  <c r="AA59" i="3" s="1"/>
  <c r="AA81" i="3" s="1"/>
  <c r="N47" i="3"/>
  <c r="N58" i="3" s="1"/>
  <c r="N80" i="3" s="1"/>
  <c r="G48" i="3"/>
  <c r="G59" i="3" s="1"/>
  <c r="G81" i="3" s="1"/>
  <c r="AA50" i="3"/>
  <c r="AA61" i="3" s="1"/>
  <c r="AA83" i="3" s="1"/>
  <c r="N51" i="3"/>
  <c r="N62" i="3" s="1"/>
  <c r="N84" i="3" s="1"/>
  <c r="G52" i="3"/>
  <c r="G63" i="3" s="1"/>
  <c r="G85" i="3" s="1"/>
  <c r="H51" i="3"/>
  <c r="H62" i="3" s="1"/>
  <c r="H84" i="3" s="1"/>
  <c r="X46" i="3"/>
  <c r="X57" i="3" s="1"/>
  <c r="X79" i="3" s="1"/>
  <c r="Z16" i="3"/>
  <c r="Z21" i="3" s="1"/>
  <c r="O51" i="3"/>
  <c r="O62" i="3" s="1"/>
  <c r="O84" i="3" s="1"/>
  <c r="S47" i="3"/>
  <c r="S58" i="3" s="1"/>
  <c r="S80" i="3" s="1"/>
  <c r="J50" i="3"/>
  <c r="J61" i="3" s="1"/>
  <c r="J83" i="3" s="1"/>
  <c r="I48" i="3"/>
  <c r="I59" i="3" s="1"/>
  <c r="I81" i="3" s="1"/>
  <c r="O49" i="3"/>
  <c r="O60" i="3" s="1"/>
  <c r="O82" i="3" s="1"/>
  <c r="Z50" i="3"/>
  <c r="Z61" i="3" s="1"/>
  <c r="Z83" i="3" s="1"/>
  <c r="X51" i="3"/>
  <c r="X62" i="3" s="1"/>
  <c r="X84" i="3" s="1"/>
  <c r="O16" i="3"/>
  <c r="O21" i="3" s="1"/>
  <c r="O122" i="2" s="1"/>
  <c r="S16" i="3"/>
  <c r="S21" i="3" s="1"/>
  <c r="J48" i="3"/>
  <c r="J59" i="3" s="1"/>
  <c r="J81" i="3" s="1"/>
  <c r="H47" i="3"/>
  <c r="H58" i="3" s="1"/>
  <c r="H80" i="3" s="1"/>
  <c r="Z48" i="3"/>
  <c r="O47" i="3"/>
  <c r="O58" i="3" s="1"/>
  <c r="O80" i="3" s="1"/>
  <c r="S52" i="3"/>
  <c r="S63" i="3" s="1"/>
  <c r="S85" i="3" s="1"/>
  <c r="J47" i="3"/>
  <c r="J58" i="3" s="1"/>
  <c r="J80" i="3" s="1"/>
  <c r="O46" i="3"/>
  <c r="Z46" i="3"/>
  <c r="Z57" i="3" s="1"/>
  <c r="Z79" i="3" s="1"/>
  <c r="O52" i="3"/>
  <c r="O63" i="3" s="1"/>
  <c r="O85" i="3" s="1"/>
  <c r="S50" i="3"/>
  <c r="G51" i="3"/>
  <c r="G62" i="3" s="1"/>
  <c r="G84" i="3" s="1"/>
  <c r="J16" i="3"/>
  <c r="J21" i="3" s="1"/>
  <c r="J122" i="2" s="1"/>
  <c r="I47" i="3"/>
  <c r="I58" i="3" s="1"/>
  <c r="I80" i="3" s="1"/>
  <c r="X49" i="3"/>
  <c r="X60" i="3" s="1"/>
  <c r="X82" i="3" s="1"/>
  <c r="I46" i="3"/>
  <c r="I57" i="3" s="1"/>
  <c r="I79" i="3" s="1"/>
  <c r="H46" i="3"/>
  <c r="H57" i="3" s="1"/>
  <c r="H79" i="3" s="1"/>
  <c r="AA47" i="3"/>
  <c r="AA58" i="3" s="1"/>
  <c r="AA80" i="3" s="1"/>
  <c r="X52" i="3"/>
  <c r="X63" i="3" s="1"/>
  <c r="X85" i="3" s="1"/>
  <c r="I52" i="3"/>
  <c r="I63" i="3" s="1"/>
  <c r="I85" i="3" s="1"/>
  <c r="H52" i="3"/>
  <c r="H63" i="3" s="1"/>
  <c r="H85" i="3" s="1"/>
  <c r="X50" i="3"/>
  <c r="X61" i="3" s="1"/>
  <c r="X83" i="3" s="1"/>
  <c r="G49" i="3"/>
  <c r="I51" i="3"/>
  <c r="I62" i="3" s="1"/>
  <c r="I84" i="3" s="1"/>
  <c r="H50" i="3"/>
  <c r="H61" i="3" s="1"/>
  <c r="H83" i="3" s="1"/>
  <c r="AA46" i="3"/>
  <c r="AA57" i="3" s="1"/>
  <c r="AA79" i="3" s="1"/>
  <c r="X16" i="3"/>
  <c r="X21" i="3" s="1"/>
  <c r="G16" i="3"/>
  <c r="G21" i="3" s="1"/>
  <c r="G122" i="2" s="1"/>
  <c r="I16" i="3"/>
  <c r="I21" i="3" s="1"/>
  <c r="I122" i="2" s="1"/>
  <c r="H16" i="3"/>
  <c r="H21" i="3" s="1"/>
  <c r="H122" i="2" s="1"/>
  <c r="AA16" i="3"/>
  <c r="AA21" i="3" s="1"/>
  <c r="X48" i="3"/>
  <c r="X59" i="3" s="1"/>
  <c r="X81" i="3" s="1"/>
  <c r="G47" i="3"/>
  <c r="G58" i="3" s="1"/>
  <c r="G80" i="3" s="1"/>
  <c r="I49" i="3"/>
  <c r="I60" i="3" s="1"/>
  <c r="I82" i="3" s="1"/>
  <c r="H48" i="3"/>
  <c r="H59" i="3" s="1"/>
  <c r="H81" i="3" s="1"/>
  <c r="AA52" i="3"/>
  <c r="AA63" i="3" s="1"/>
  <c r="AA85" i="3" s="1"/>
  <c r="I47" i="2"/>
  <c r="I49" i="2" s="1"/>
  <c r="I51" i="2" s="1"/>
  <c r="K16" i="3"/>
  <c r="K21" i="3" s="1"/>
  <c r="K122" i="2" s="1"/>
  <c r="K46" i="3"/>
  <c r="K57" i="3" s="1"/>
  <c r="K79" i="3" s="1"/>
  <c r="K47" i="3"/>
  <c r="K58" i="3" s="1"/>
  <c r="K80" i="3" s="1"/>
  <c r="K48" i="3"/>
  <c r="K59" i="3" s="1"/>
  <c r="K81" i="3" s="1"/>
  <c r="K49" i="3"/>
  <c r="K60" i="3" s="1"/>
  <c r="K82" i="3" s="1"/>
  <c r="K50" i="3"/>
  <c r="K61" i="3" s="1"/>
  <c r="K83" i="3" s="1"/>
  <c r="K51" i="3"/>
  <c r="K62" i="3" s="1"/>
  <c r="K84" i="3" s="1"/>
  <c r="K52" i="3"/>
  <c r="K63" i="3" s="1"/>
  <c r="K85" i="3" s="1"/>
  <c r="P16" i="3"/>
  <c r="P21" i="3" s="1"/>
  <c r="P122" i="2" s="1"/>
  <c r="P50" i="3"/>
  <c r="P52" i="3"/>
  <c r="P51" i="3"/>
  <c r="P46" i="3"/>
  <c r="P47" i="3"/>
  <c r="P48" i="3"/>
  <c r="P49" i="3"/>
  <c r="M16" i="3"/>
  <c r="M21" i="3" s="1"/>
  <c r="M122" i="2" s="1"/>
  <c r="M47" i="3"/>
  <c r="M58" i="3" s="1"/>
  <c r="M80" i="3" s="1"/>
  <c r="M49" i="3"/>
  <c r="M60" i="3" s="1"/>
  <c r="M82" i="3" s="1"/>
  <c r="M48" i="3"/>
  <c r="M59" i="3" s="1"/>
  <c r="M81" i="3" s="1"/>
  <c r="M50" i="3"/>
  <c r="M61" i="3" s="1"/>
  <c r="M83" i="3" s="1"/>
  <c r="M52" i="3"/>
  <c r="M63" i="3" s="1"/>
  <c r="M85" i="3" s="1"/>
  <c r="M51" i="3"/>
  <c r="M62" i="3" s="1"/>
  <c r="M84" i="3" s="1"/>
  <c r="M46" i="3"/>
  <c r="M57" i="3" s="1"/>
  <c r="M79" i="3" s="1"/>
  <c r="L16" i="3"/>
  <c r="L21" i="3" s="1"/>
  <c r="L122" i="2" s="1"/>
  <c r="L48" i="3"/>
  <c r="L59" i="3" s="1"/>
  <c r="L81" i="3" s="1"/>
  <c r="L49" i="3"/>
  <c r="L60" i="3" s="1"/>
  <c r="L82" i="3" s="1"/>
  <c r="L47" i="3"/>
  <c r="L58" i="3" s="1"/>
  <c r="L80" i="3" s="1"/>
  <c r="L51" i="3"/>
  <c r="L62" i="3" s="1"/>
  <c r="L84" i="3" s="1"/>
  <c r="L50" i="3"/>
  <c r="L61" i="3" s="1"/>
  <c r="L83" i="3" s="1"/>
  <c r="L52" i="3"/>
  <c r="L63" i="3" s="1"/>
  <c r="L85" i="3" s="1"/>
  <c r="L46" i="3"/>
  <c r="L57" i="3" s="1"/>
  <c r="L79" i="3" s="1"/>
  <c r="W16" i="3"/>
  <c r="W21" i="3" s="1"/>
  <c r="W49" i="3"/>
  <c r="W60" i="3" s="1"/>
  <c r="W82" i="3" s="1"/>
  <c r="W52" i="3"/>
  <c r="W63" i="3" s="1"/>
  <c r="W85" i="3" s="1"/>
  <c r="W50" i="3"/>
  <c r="W61" i="3" s="1"/>
  <c r="W83" i="3" s="1"/>
  <c r="W51" i="3"/>
  <c r="W62" i="3" s="1"/>
  <c r="W84" i="3" s="1"/>
  <c r="W48" i="3"/>
  <c r="W59" i="3" s="1"/>
  <c r="W81" i="3" s="1"/>
  <c r="W46" i="3"/>
  <c r="W57" i="3" s="1"/>
  <c r="W79" i="3" s="1"/>
  <c r="W47" i="3"/>
  <c r="W58" i="3" s="1"/>
  <c r="W80" i="3" s="1"/>
  <c r="Y16" i="3"/>
  <c r="Y21" i="3" s="1"/>
  <c r="Y51" i="3"/>
  <c r="Y62" i="3" s="1"/>
  <c r="Y84" i="3" s="1"/>
  <c r="Y52" i="3"/>
  <c r="Y63" i="3" s="1"/>
  <c r="Y85" i="3" s="1"/>
  <c r="Y46" i="3"/>
  <c r="Y57" i="3" s="1"/>
  <c r="Y79" i="3" s="1"/>
  <c r="Y48" i="3"/>
  <c r="Y59" i="3" s="1"/>
  <c r="Y81" i="3" s="1"/>
  <c r="Y47" i="3"/>
  <c r="Y58" i="3" s="1"/>
  <c r="Y80" i="3" s="1"/>
  <c r="Y49" i="3"/>
  <c r="Y60" i="3" s="1"/>
  <c r="Y82" i="3" s="1"/>
  <c r="Y50" i="3"/>
  <c r="Y61" i="3" s="1"/>
  <c r="Y83" i="3" s="1"/>
  <c r="F16" i="3"/>
  <c r="F21" i="3" s="1"/>
  <c r="F122" i="2" s="1"/>
  <c r="F48" i="3"/>
  <c r="F59" i="3" s="1"/>
  <c r="F81" i="3" s="1"/>
  <c r="F50" i="3"/>
  <c r="F61" i="3" s="1"/>
  <c r="F83" i="3" s="1"/>
  <c r="F51" i="3"/>
  <c r="F62" i="3" s="1"/>
  <c r="F84" i="3" s="1"/>
  <c r="F47" i="3"/>
  <c r="F58" i="3" s="1"/>
  <c r="F80" i="3" s="1"/>
  <c r="F49" i="3"/>
  <c r="F60" i="3" s="1"/>
  <c r="F82" i="3" s="1"/>
  <c r="F46" i="3"/>
  <c r="F57" i="3" s="1"/>
  <c r="F79" i="3" s="1"/>
  <c r="F52" i="3"/>
  <c r="F63" i="3" s="1"/>
  <c r="F85" i="3" s="1"/>
  <c r="R16" i="3"/>
  <c r="R21" i="3" s="1"/>
  <c r="R52" i="3"/>
  <c r="R63" i="3" s="1"/>
  <c r="R85" i="3" s="1"/>
  <c r="R46" i="3"/>
  <c r="R57" i="3" s="1"/>
  <c r="R79" i="3" s="1"/>
  <c r="R47" i="3"/>
  <c r="R58" i="3" s="1"/>
  <c r="R80" i="3" s="1"/>
  <c r="R49" i="3"/>
  <c r="R60" i="3" s="1"/>
  <c r="R82" i="3" s="1"/>
  <c r="R48" i="3"/>
  <c r="R59" i="3" s="1"/>
  <c r="R81" i="3" s="1"/>
  <c r="R50" i="3"/>
  <c r="R61" i="3" s="1"/>
  <c r="R83" i="3" s="1"/>
  <c r="R51" i="3"/>
  <c r="R62" i="3" s="1"/>
  <c r="R84" i="3" s="1"/>
  <c r="D52" i="3"/>
  <c r="D63" i="3" s="1"/>
  <c r="D85" i="3" s="1"/>
  <c r="D51" i="3"/>
  <c r="D62" i="3" s="1"/>
  <c r="D84" i="3" s="1"/>
  <c r="D49" i="3"/>
  <c r="D60" i="3" s="1"/>
  <c r="D82" i="3" s="1"/>
  <c r="D47" i="3"/>
  <c r="D58" i="3" s="1"/>
  <c r="D80" i="3" s="1"/>
  <c r="D46" i="3"/>
  <c r="D57" i="3" s="1"/>
  <c r="D79" i="3" s="1"/>
  <c r="D50" i="3"/>
  <c r="D61" i="3" s="1"/>
  <c r="D83" i="3" s="1"/>
  <c r="D48" i="3"/>
  <c r="D59" i="3" s="1"/>
  <c r="D81" i="3" s="1"/>
  <c r="T16" i="3"/>
  <c r="T21" i="3" s="1"/>
  <c r="T47" i="3"/>
  <c r="T58" i="3" s="1"/>
  <c r="T80" i="3" s="1"/>
  <c r="T48" i="3"/>
  <c r="T59" i="3" s="1"/>
  <c r="T81" i="3" s="1"/>
  <c r="T49" i="3"/>
  <c r="T60" i="3" s="1"/>
  <c r="T82" i="3" s="1"/>
  <c r="T50" i="3"/>
  <c r="T61" i="3" s="1"/>
  <c r="T83" i="3" s="1"/>
  <c r="T51" i="3"/>
  <c r="T62" i="3" s="1"/>
  <c r="T84" i="3" s="1"/>
  <c r="T46" i="3"/>
  <c r="T57" i="3" s="1"/>
  <c r="T79" i="3" s="1"/>
  <c r="T52" i="3"/>
  <c r="T63" i="3" s="1"/>
  <c r="T85" i="3" s="1"/>
  <c r="D16" i="3"/>
  <c r="D21" i="3" s="1"/>
  <c r="D122" i="2" s="1"/>
  <c r="E171" i="2"/>
  <c r="E175" i="2"/>
  <c r="E174" i="2"/>
  <c r="E169" i="2"/>
  <c r="E170" i="2"/>
  <c r="E173" i="2"/>
  <c r="E172" i="2"/>
  <c r="D138" i="3"/>
  <c r="I42" i="3"/>
  <c r="D75" i="3"/>
  <c r="D90" i="3" s="1"/>
  <c r="D42" i="3"/>
  <c r="V75" i="3"/>
  <c r="V90" i="3" s="1"/>
  <c r="T42" i="3"/>
  <c r="T75" i="3"/>
  <c r="T90" i="3" s="1"/>
  <c r="X75" i="3"/>
  <c r="X90" i="3" s="1"/>
  <c r="H42" i="3"/>
  <c r="Q75" i="3"/>
  <c r="Q90" i="3" s="1"/>
  <c r="H75" i="3"/>
  <c r="I75" i="3"/>
  <c r="I90" i="3" s="1"/>
  <c r="K75" i="3"/>
  <c r="K90" i="3" s="1"/>
  <c r="L75" i="3"/>
  <c r="L90" i="3" s="1"/>
  <c r="G42" i="3"/>
  <c r="P75" i="3"/>
  <c r="P90" i="3" s="1"/>
  <c r="J42" i="3"/>
  <c r="O75" i="3"/>
  <c r="O90" i="3" s="1"/>
  <c r="U75" i="3"/>
  <c r="U90" i="3" s="1"/>
  <c r="Y42" i="3"/>
  <c r="J75" i="3"/>
  <c r="J90" i="3" s="1"/>
  <c r="L42" i="3"/>
  <c r="G75" i="3"/>
  <c r="G90" i="3" s="1"/>
  <c r="V42" i="3"/>
  <c r="N42" i="3"/>
  <c r="P42" i="3"/>
  <c r="R42" i="3"/>
  <c r="E42" i="3"/>
  <c r="W75" i="3"/>
  <c r="W90" i="3" s="1"/>
  <c r="X42" i="3"/>
  <c r="M75" i="3"/>
  <c r="M90" i="3" s="1"/>
  <c r="F42" i="3"/>
  <c r="F75" i="3"/>
  <c r="F90" i="3" s="1"/>
  <c r="AA75" i="3"/>
  <c r="AA90" i="3" s="1"/>
  <c r="N75" i="3"/>
  <c r="N90" i="3" s="1"/>
  <c r="Z42" i="3"/>
  <c r="R75" i="3"/>
  <c r="R90" i="3" s="1"/>
  <c r="M42" i="3"/>
  <c r="E75" i="3"/>
  <c r="E90" i="3" s="1"/>
  <c r="S42" i="3"/>
  <c r="U42" i="3"/>
  <c r="O42" i="3"/>
  <c r="W42" i="3"/>
  <c r="K42" i="3"/>
  <c r="Q42" i="3"/>
  <c r="Z75" i="3"/>
  <c r="Z90" i="3" s="1"/>
  <c r="AA42" i="3"/>
  <c r="Y75" i="3"/>
  <c r="Y90" i="3" s="1"/>
  <c r="S75" i="3"/>
  <c r="S90" i="3" s="1"/>
  <c r="R24" i="3" l="1"/>
  <c r="R122" i="2"/>
  <c r="T24" i="3"/>
  <c r="T122" i="2"/>
  <c r="X24" i="3"/>
  <c r="X122" i="2"/>
  <c r="S24" i="3"/>
  <c r="S122" i="2"/>
  <c r="V24" i="3"/>
  <c r="V122" i="2"/>
  <c r="Y24" i="3"/>
  <c r="Y122" i="2"/>
  <c r="Z24" i="3"/>
  <c r="Z122" i="2"/>
  <c r="U24" i="3"/>
  <c r="U122" i="2"/>
  <c r="W24" i="3"/>
  <c r="W122" i="2"/>
  <c r="AA24" i="3"/>
  <c r="AA122" i="2"/>
  <c r="Q24" i="3"/>
  <c r="Q122" i="2"/>
  <c r="F24" i="3"/>
  <c r="M24" i="3"/>
  <c r="P24" i="3"/>
  <c r="H24" i="3"/>
  <c r="P61" i="3"/>
  <c r="P83" i="3" s="1"/>
  <c r="F173" i="2"/>
  <c r="H173" i="2" s="1"/>
  <c r="L24" i="3"/>
  <c r="K24" i="3"/>
  <c r="P60" i="3"/>
  <c r="P82" i="3" s="1"/>
  <c r="F172" i="2"/>
  <c r="H172" i="2" s="1"/>
  <c r="I24" i="3"/>
  <c r="J24" i="3"/>
  <c r="N24" i="3"/>
  <c r="E24" i="3"/>
  <c r="P59" i="3"/>
  <c r="P81" i="3" s="1"/>
  <c r="F171" i="2"/>
  <c r="H171" i="2" s="1"/>
  <c r="G24" i="3"/>
  <c r="P58" i="3"/>
  <c r="P80" i="3" s="1"/>
  <c r="F170" i="2"/>
  <c r="H170" i="2" s="1"/>
  <c r="P57" i="3"/>
  <c r="P79" i="3" s="1"/>
  <c r="F169" i="2"/>
  <c r="H169" i="2" s="1"/>
  <c r="P62" i="3"/>
  <c r="P84" i="3" s="1"/>
  <c r="F174" i="2"/>
  <c r="H174" i="2" s="1"/>
  <c r="P63" i="3"/>
  <c r="P85" i="3" s="1"/>
  <c r="F175" i="2"/>
  <c r="H175" i="2" s="1"/>
  <c r="O24" i="3"/>
  <c r="D24" i="3"/>
  <c r="K219" i="3"/>
  <c r="L226" i="3" s="1"/>
  <c r="L100" i="3" s="1"/>
  <c r="T218" i="3"/>
  <c r="F218" i="3"/>
  <c r="M219" i="3"/>
  <c r="M226" i="3" s="1"/>
  <c r="M100" i="3" s="1"/>
  <c r="P218" i="3"/>
  <c r="D218" i="3"/>
  <c r="D225" i="3" s="1"/>
  <c r="W219" i="3"/>
  <c r="R219" i="3"/>
  <c r="M225" i="3"/>
  <c r="M99" i="3" s="1"/>
  <c r="L225" i="3"/>
  <c r="L99" i="3" s="1"/>
  <c r="S218" i="3"/>
  <c r="S219" i="3"/>
  <c r="Q218" i="3"/>
  <c r="R225" i="3" s="1"/>
  <c r="R99" i="3" s="1"/>
  <c r="Q219" i="3"/>
  <c r="Q226" i="3" s="1"/>
  <c r="Q100" i="3" s="1"/>
  <c r="Z218" i="3"/>
  <c r="Z225" i="3" s="1"/>
  <c r="Z99" i="3" s="1"/>
  <c r="Z219" i="3"/>
  <c r="Z226" i="3" s="1"/>
  <c r="Z100" i="3" s="1"/>
  <c r="J218" i="3"/>
  <c r="K225" i="3" s="1"/>
  <c r="K99" i="3" s="1"/>
  <c r="J219" i="3"/>
  <c r="U218" i="3"/>
  <c r="U219" i="3"/>
  <c r="U226" i="3" s="1"/>
  <c r="U100" i="3" s="1"/>
  <c r="E218" i="3"/>
  <c r="E219" i="3"/>
  <c r="E226" i="3" s="1"/>
  <c r="E100" i="3" s="1"/>
  <c r="O219" i="3"/>
  <c r="O218" i="3"/>
  <c r="G218" i="3"/>
  <c r="G219" i="3"/>
  <c r="G226" i="3" s="1"/>
  <c r="G100" i="3" s="1"/>
  <c r="X218" i="3"/>
  <c r="Y225" i="3" s="1"/>
  <c r="Y99" i="3" s="1"/>
  <c r="X219" i="3"/>
  <c r="I218" i="3"/>
  <c r="I219" i="3"/>
  <c r="AA218" i="3"/>
  <c r="AA219" i="3"/>
  <c r="H219" i="3"/>
  <c r="H218" i="3"/>
  <c r="N219" i="3"/>
  <c r="N218" i="3"/>
  <c r="N225" i="3" s="1"/>
  <c r="N99" i="3" s="1"/>
  <c r="V219" i="3"/>
  <c r="V218" i="3"/>
  <c r="W225" i="3" s="1"/>
  <c r="W99" i="3" s="1"/>
  <c r="E53" i="3"/>
  <c r="E89" i="3" s="1"/>
  <c r="E61" i="3"/>
  <c r="E83" i="3" s="1"/>
  <c r="E86" i="3" s="1"/>
  <c r="Q53" i="3"/>
  <c r="Q89" i="3" s="1"/>
  <c r="V53" i="3"/>
  <c r="V89" i="3" s="1"/>
  <c r="V62" i="3"/>
  <c r="V84" i="3" s="1"/>
  <c r="S53" i="3"/>
  <c r="S89" i="3" s="1"/>
  <c r="U53" i="3"/>
  <c r="U89" i="3" s="1"/>
  <c r="Z53" i="3"/>
  <c r="Z89" i="3" s="1"/>
  <c r="S61" i="3"/>
  <c r="S83" i="3" s="1"/>
  <c r="S86" i="3" s="1"/>
  <c r="N53" i="3"/>
  <c r="N89" i="3" s="1"/>
  <c r="J53" i="3"/>
  <c r="J89" i="3" s="1"/>
  <c r="O53" i="3"/>
  <c r="O89" i="3" s="1"/>
  <c r="Z59" i="3"/>
  <c r="Z81" i="3" s="1"/>
  <c r="Z86" i="3" s="1"/>
  <c r="G53" i="3"/>
  <c r="G89" i="3" s="1"/>
  <c r="I53" i="3"/>
  <c r="I89" i="3" s="1"/>
  <c r="G60" i="3"/>
  <c r="G82" i="3" s="1"/>
  <c r="G86" i="3" s="1"/>
  <c r="O57" i="3"/>
  <c r="O79" i="3" s="1"/>
  <c r="O86" i="3" s="1"/>
  <c r="AA53" i="3"/>
  <c r="AA89" i="3" s="1"/>
  <c r="X53" i="3"/>
  <c r="X89" i="3" s="1"/>
  <c r="H53" i="3"/>
  <c r="H89" i="3" s="1"/>
  <c r="T86" i="3"/>
  <c r="I86" i="3"/>
  <c r="U86" i="3"/>
  <c r="N86" i="3"/>
  <c r="R86" i="3"/>
  <c r="D86" i="3"/>
  <c r="F86" i="3"/>
  <c r="H86" i="3"/>
  <c r="AA86" i="3"/>
  <c r="W86" i="3"/>
  <c r="Q86" i="3"/>
  <c r="J86" i="3"/>
  <c r="L86" i="3"/>
  <c r="V81" i="3"/>
  <c r="X86" i="3"/>
  <c r="Y86" i="3"/>
  <c r="M86" i="3"/>
  <c r="K86" i="3"/>
  <c r="X64" i="3"/>
  <c r="AA64" i="3"/>
  <c r="I64" i="3"/>
  <c r="N64" i="3"/>
  <c r="Q64" i="3"/>
  <c r="U64" i="3"/>
  <c r="H64" i="3"/>
  <c r="Y64" i="3"/>
  <c r="K64" i="3"/>
  <c r="J64" i="3"/>
  <c r="M64" i="3"/>
  <c r="D64" i="3"/>
  <c r="F64" i="3"/>
  <c r="W64" i="3"/>
  <c r="L64" i="3"/>
  <c r="R64" i="3"/>
  <c r="T64" i="3"/>
  <c r="W88" i="3"/>
  <c r="Q88" i="3"/>
  <c r="Y88" i="3"/>
  <c r="R88" i="3"/>
  <c r="N88" i="3"/>
  <c r="H88" i="3"/>
  <c r="Z88" i="3"/>
  <c r="P88" i="3"/>
  <c r="S88" i="3"/>
  <c r="E88" i="3"/>
  <c r="O88" i="3"/>
  <c r="AA88" i="3"/>
  <c r="G88" i="3"/>
  <c r="I88" i="3"/>
  <c r="F88" i="3"/>
  <c r="M88" i="3"/>
  <c r="L88" i="3"/>
  <c r="T88" i="3"/>
  <c r="D88" i="3"/>
  <c r="T53" i="3"/>
  <c r="T89" i="3" s="1"/>
  <c r="Y53" i="3"/>
  <c r="Y89" i="3" s="1"/>
  <c r="F53" i="3"/>
  <c r="F89" i="3" s="1"/>
  <c r="M53" i="3"/>
  <c r="M89" i="3" s="1"/>
  <c r="K53" i="3"/>
  <c r="K89" i="3" s="1"/>
  <c r="L53" i="3"/>
  <c r="L89" i="3" s="1"/>
  <c r="P53" i="3"/>
  <c r="P89" i="3" s="1"/>
  <c r="D53" i="3"/>
  <c r="D89" i="3" s="1"/>
  <c r="R53" i="3"/>
  <c r="R89" i="3" s="1"/>
  <c r="W53" i="3"/>
  <c r="W89" i="3" s="1"/>
  <c r="V88" i="3"/>
  <c r="X88" i="3"/>
  <c r="K88" i="3"/>
  <c r="H90" i="3"/>
  <c r="U88" i="3"/>
  <c r="J88" i="3"/>
  <c r="P86" i="3" l="1"/>
  <c r="P64" i="3"/>
  <c r="U225" i="3"/>
  <c r="U99" i="3" s="1"/>
  <c r="T225" i="3"/>
  <c r="T99" i="3" s="1"/>
  <c r="P225" i="3"/>
  <c r="P99" i="3" s="1"/>
  <c r="F225" i="3"/>
  <c r="F99" i="3" s="1"/>
  <c r="N226" i="3"/>
  <c r="N100" i="3" s="1"/>
  <c r="X226" i="3"/>
  <c r="X100" i="3" s="1"/>
  <c r="S226" i="3"/>
  <c r="S100" i="3" s="1"/>
  <c r="D227" i="3"/>
  <c r="D99" i="3"/>
  <c r="J225" i="3"/>
  <c r="J99" i="3" s="1"/>
  <c r="L227" i="3"/>
  <c r="M227" i="3"/>
  <c r="V226" i="3"/>
  <c r="V100" i="3" s="1"/>
  <c r="AA226" i="3"/>
  <c r="AA100" i="3" s="1"/>
  <c r="F226" i="3"/>
  <c r="R226" i="3"/>
  <c r="J226" i="3"/>
  <c r="J100" i="3" s="1"/>
  <c r="I225" i="3"/>
  <c r="I99" i="3" s="1"/>
  <c r="T226" i="3"/>
  <c r="Y226" i="3"/>
  <c r="O226" i="3"/>
  <c r="O100" i="3" s="1"/>
  <c r="Z227" i="3"/>
  <c r="H226" i="3"/>
  <c r="H100" i="3" s="1"/>
  <c r="H225" i="3"/>
  <c r="H99" i="3" s="1"/>
  <c r="W226" i="3"/>
  <c r="P226" i="3"/>
  <c r="K226" i="3"/>
  <c r="AA225" i="3"/>
  <c r="AA99" i="3" s="1"/>
  <c r="I226" i="3"/>
  <c r="I100" i="3" s="1"/>
  <c r="X225" i="3"/>
  <c r="G225" i="3"/>
  <c r="O225" i="3"/>
  <c r="O99" i="3" s="1"/>
  <c r="Q225" i="3"/>
  <c r="V225" i="3"/>
  <c r="V99" i="3" s="1"/>
  <c r="E225" i="3"/>
  <c r="S225" i="3"/>
  <c r="V64" i="3"/>
  <c r="E64" i="3"/>
  <c r="O64" i="3"/>
  <c r="V86" i="3"/>
  <c r="S64" i="3"/>
  <c r="Z64" i="3"/>
  <c r="G64" i="3"/>
  <c r="N227" i="3" l="1"/>
  <c r="U227" i="3"/>
  <c r="S227" i="3"/>
  <c r="S99" i="3"/>
  <c r="W227" i="3"/>
  <c r="W100" i="3"/>
  <c r="F227" i="3"/>
  <c r="F100" i="3"/>
  <c r="E227" i="3"/>
  <c r="E99" i="3"/>
  <c r="T227" i="3"/>
  <c r="T100" i="3"/>
  <c r="P227" i="3"/>
  <c r="P100" i="3"/>
  <c r="R227" i="3"/>
  <c r="R100" i="3"/>
  <c r="X227" i="3"/>
  <c r="X99" i="3"/>
  <c r="Y227" i="3"/>
  <c r="Y100" i="3"/>
  <c r="K227" i="3"/>
  <c r="K100" i="3"/>
  <c r="Q227" i="3"/>
  <c r="Q99" i="3"/>
  <c r="G227" i="3"/>
  <c r="G99" i="3"/>
  <c r="J227" i="3"/>
  <c r="V227" i="3"/>
  <c r="H227" i="3"/>
  <c r="AA227" i="3"/>
  <c r="I227" i="3"/>
  <c r="O227" i="3"/>
  <c r="O49" i="2" l="1"/>
  <c r="Q21" i="6"/>
  <c r="D26" i="3"/>
  <c r="E26" i="3"/>
  <c r="F26" i="3"/>
  <c r="G26" i="3"/>
  <c r="H26" i="3"/>
  <c r="I26" i="3"/>
  <c r="J26" i="3"/>
  <c r="K26" i="3"/>
  <c r="L26" i="3"/>
  <c r="M26" i="3"/>
  <c r="N26" i="3"/>
  <c r="O26" i="3"/>
  <c r="P26" i="3"/>
  <c r="Q26" i="3"/>
  <c r="R26" i="3"/>
  <c r="S26" i="3"/>
  <c r="T26" i="3"/>
  <c r="U26" i="3"/>
  <c r="V26" i="3"/>
  <c r="W26" i="3"/>
  <c r="X26" i="3"/>
  <c r="Y26" i="3"/>
  <c r="Z26" i="3"/>
  <c r="AA26" i="3"/>
  <c r="D28" i="3"/>
  <c r="E28" i="3"/>
  <c r="F28" i="3"/>
  <c r="G28" i="3"/>
  <c r="H28" i="3"/>
  <c r="I28" i="3"/>
  <c r="J28" i="3"/>
  <c r="K28" i="3"/>
  <c r="L28" i="3"/>
  <c r="M28" i="3"/>
  <c r="N28" i="3"/>
  <c r="O28" i="3"/>
  <c r="P28" i="3"/>
  <c r="Q28" i="3"/>
  <c r="R28" i="3"/>
  <c r="S28" i="3"/>
  <c r="T28" i="3"/>
  <c r="U28" i="3"/>
  <c r="V28" i="3"/>
  <c r="W28" i="3"/>
  <c r="X28" i="3"/>
  <c r="Y28" i="3"/>
  <c r="Z28" i="3"/>
  <c r="AA28" i="3"/>
  <c r="D96" i="3"/>
  <c r="E96" i="3"/>
  <c r="F96" i="3"/>
  <c r="G96" i="3"/>
  <c r="H96" i="3"/>
  <c r="I96" i="3"/>
  <c r="J96" i="3"/>
  <c r="K96" i="3"/>
  <c r="L96" i="3"/>
  <c r="M96" i="3"/>
  <c r="N96" i="3"/>
  <c r="O96" i="3"/>
  <c r="P96" i="3"/>
  <c r="Q96" i="3"/>
  <c r="R96" i="3"/>
  <c r="S96" i="3"/>
  <c r="T96" i="3"/>
  <c r="U96" i="3"/>
  <c r="V96" i="3"/>
  <c r="W96" i="3"/>
  <c r="X96" i="3"/>
  <c r="Y96" i="3"/>
  <c r="Z96" i="3"/>
  <c r="AA96" i="3"/>
  <c r="D101" i="3"/>
  <c r="E101" i="3"/>
  <c r="F101" i="3"/>
  <c r="G101" i="3"/>
  <c r="H101" i="3"/>
  <c r="I101" i="3"/>
  <c r="J101" i="3"/>
  <c r="K101" i="3"/>
  <c r="L101" i="3"/>
  <c r="M101" i="3"/>
  <c r="N101" i="3"/>
  <c r="O101" i="3"/>
  <c r="P101" i="3"/>
  <c r="Q101" i="3"/>
  <c r="R101" i="3"/>
  <c r="S101" i="3"/>
  <c r="T101" i="3"/>
  <c r="U101" i="3"/>
  <c r="V101" i="3"/>
  <c r="W101" i="3"/>
  <c r="X101" i="3"/>
  <c r="Y101" i="3"/>
  <c r="Z101" i="3"/>
  <c r="AA101" i="3"/>
  <c r="D107" i="3"/>
  <c r="E107" i="3"/>
  <c r="F107" i="3"/>
  <c r="G107" i="3"/>
  <c r="H107" i="3"/>
  <c r="I107" i="3"/>
  <c r="J107" i="3"/>
  <c r="K107" i="3"/>
  <c r="L107" i="3"/>
  <c r="M107" i="3"/>
  <c r="N107" i="3"/>
  <c r="O107" i="3"/>
  <c r="P107" i="3"/>
  <c r="Q107" i="3"/>
  <c r="R107" i="3"/>
  <c r="S107" i="3"/>
  <c r="T107" i="3"/>
  <c r="U107" i="3"/>
  <c r="V107" i="3"/>
  <c r="W107" i="3"/>
  <c r="X107" i="3"/>
  <c r="Y107" i="3"/>
  <c r="Z107" i="3"/>
  <c r="AA107" i="3"/>
  <c r="D110" i="3"/>
  <c r="E110" i="3"/>
  <c r="F110" i="3"/>
  <c r="G110" i="3"/>
  <c r="H110" i="3"/>
  <c r="I110" i="3"/>
  <c r="J110" i="3"/>
  <c r="K110" i="3"/>
  <c r="L110" i="3"/>
  <c r="M110" i="3"/>
  <c r="N110" i="3"/>
  <c r="O110" i="3"/>
  <c r="P110" i="3"/>
  <c r="Q110" i="3"/>
  <c r="R110" i="3"/>
  <c r="S110" i="3"/>
  <c r="T110" i="3"/>
  <c r="U110" i="3"/>
  <c r="V110" i="3"/>
  <c r="W110" i="3"/>
  <c r="X110" i="3"/>
  <c r="Y110" i="3"/>
  <c r="Z110" i="3"/>
  <c r="AA110" i="3"/>
  <c r="D111" i="3"/>
  <c r="E111" i="3"/>
  <c r="F111" i="3"/>
  <c r="G111" i="3"/>
  <c r="H111" i="3"/>
  <c r="I111" i="3"/>
  <c r="J111" i="3"/>
  <c r="K111" i="3"/>
  <c r="L111" i="3"/>
  <c r="M111" i="3"/>
  <c r="N111" i="3"/>
  <c r="O111" i="3"/>
  <c r="P111" i="3"/>
  <c r="Q111" i="3"/>
  <c r="R111" i="3"/>
  <c r="S111" i="3"/>
  <c r="T111" i="3"/>
  <c r="U111" i="3"/>
  <c r="V111" i="3"/>
  <c r="W111" i="3"/>
  <c r="X111" i="3"/>
  <c r="Y111" i="3"/>
  <c r="Z111" i="3"/>
  <c r="AA111" i="3"/>
  <c r="D112" i="3"/>
  <c r="E112" i="3"/>
  <c r="F112" i="3"/>
  <c r="G112" i="3"/>
  <c r="H112" i="3"/>
  <c r="I112" i="3"/>
  <c r="J112" i="3"/>
  <c r="K112" i="3"/>
  <c r="L112" i="3"/>
  <c r="M112" i="3"/>
  <c r="N112" i="3"/>
  <c r="O112" i="3"/>
  <c r="P112" i="3"/>
  <c r="Q112" i="3"/>
  <c r="R112" i="3"/>
  <c r="S112" i="3"/>
  <c r="T112" i="3"/>
  <c r="U112" i="3"/>
  <c r="V112" i="3"/>
  <c r="W112" i="3"/>
  <c r="X112" i="3"/>
  <c r="Y112" i="3"/>
  <c r="Z112" i="3"/>
  <c r="AA112" i="3"/>
  <c r="E115" i="3"/>
  <c r="F115" i="3"/>
  <c r="G115" i="3"/>
  <c r="H115" i="3"/>
  <c r="I115" i="3"/>
  <c r="J115" i="3"/>
  <c r="K115" i="3"/>
  <c r="L115" i="3"/>
  <c r="M115" i="3"/>
  <c r="N115" i="3"/>
  <c r="O115" i="3"/>
  <c r="P115" i="3"/>
  <c r="Q115" i="3"/>
  <c r="R115" i="3"/>
  <c r="S115" i="3"/>
  <c r="T115" i="3"/>
  <c r="U115" i="3"/>
  <c r="V115" i="3"/>
  <c r="W115" i="3"/>
  <c r="X115" i="3"/>
  <c r="Y115" i="3"/>
  <c r="Z115" i="3"/>
  <c r="AA115" i="3"/>
  <c r="D116" i="3"/>
  <c r="E116" i="3"/>
  <c r="F116" i="3"/>
  <c r="G116" i="3"/>
  <c r="H116" i="3"/>
  <c r="I116" i="3"/>
  <c r="J116" i="3"/>
  <c r="K116" i="3"/>
  <c r="L116" i="3"/>
  <c r="M116" i="3"/>
  <c r="N116" i="3"/>
  <c r="O116" i="3"/>
  <c r="P116" i="3"/>
  <c r="Q116" i="3"/>
  <c r="R116" i="3"/>
  <c r="S116" i="3"/>
  <c r="T116" i="3"/>
  <c r="U116" i="3"/>
  <c r="V116" i="3"/>
  <c r="W116" i="3"/>
  <c r="X116" i="3"/>
  <c r="Y116" i="3"/>
  <c r="Z116" i="3"/>
  <c r="AA116" i="3"/>
  <c r="D117" i="3"/>
  <c r="E117" i="3"/>
  <c r="F117" i="3"/>
  <c r="G117" i="3"/>
  <c r="H117" i="3"/>
  <c r="I117" i="3"/>
  <c r="J117" i="3"/>
  <c r="K117" i="3"/>
  <c r="L117" i="3"/>
  <c r="M117" i="3"/>
  <c r="N117" i="3"/>
  <c r="O117" i="3"/>
  <c r="P117" i="3"/>
  <c r="Q117" i="3"/>
  <c r="R117" i="3"/>
  <c r="S117" i="3"/>
  <c r="T117" i="3"/>
  <c r="U117" i="3"/>
  <c r="V117" i="3"/>
  <c r="W117" i="3"/>
  <c r="X117" i="3"/>
  <c r="Y117" i="3"/>
  <c r="Z117" i="3"/>
  <c r="AA117" i="3"/>
  <c r="D126" i="3"/>
  <c r="E126" i="3"/>
  <c r="F126" i="3"/>
  <c r="G126" i="3"/>
  <c r="H126" i="3"/>
  <c r="I126" i="3"/>
  <c r="J126" i="3"/>
  <c r="K126" i="3"/>
  <c r="L126" i="3"/>
  <c r="M126" i="3"/>
  <c r="N126" i="3"/>
  <c r="O126" i="3"/>
  <c r="P126" i="3"/>
  <c r="Q126" i="3"/>
  <c r="R126" i="3"/>
  <c r="S126" i="3"/>
  <c r="T126" i="3"/>
  <c r="U126" i="3"/>
  <c r="V126" i="3"/>
  <c r="W126" i="3"/>
  <c r="X126" i="3"/>
  <c r="Y126" i="3"/>
  <c r="Z126" i="3"/>
  <c r="AA126" i="3"/>
  <c r="D129" i="3"/>
  <c r="E129" i="3"/>
  <c r="F129" i="3"/>
  <c r="G129" i="3"/>
  <c r="H129" i="3"/>
  <c r="I129" i="3"/>
  <c r="J129" i="3"/>
  <c r="K129" i="3"/>
  <c r="L129" i="3"/>
  <c r="M129" i="3"/>
  <c r="N129" i="3"/>
  <c r="O129" i="3"/>
  <c r="P129" i="3"/>
  <c r="Q129" i="3"/>
  <c r="R129" i="3"/>
  <c r="S129" i="3"/>
  <c r="T129" i="3"/>
  <c r="U129" i="3"/>
  <c r="V129" i="3"/>
  <c r="W129" i="3"/>
  <c r="X129" i="3"/>
  <c r="Y129" i="3"/>
  <c r="Z129" i="3"/>
  <c r="AA129" i="3"/>
  <c r="D134" i="3"/>
  <c r="E134" i="3"/>
  <c r="F134" i="3"/>
  <c r="G134" i="3"/>
  <c r="H134" i="3"/>
  <c r="I134" i="3"/>
  <c r="J134" i="3"/>
  <c r="K134" i="3"/>
  <c r="L134" i="3"/>
  <c r="M134" i="3"/>
  <c r="N134" i="3"/>
  <c r="O134" i="3"/>
  <c r="P134" i="3"/>
  <c r="Q134" i="3"/>
  <c r="R134" i="3"/>
  <c r="S134" i="3"/>
  <c r="T134" i="3"/>
  <c r="U134" i="3"/>
  <c r="V134" i="3"/>
  <c r="W134" i="3"/>
  <c r="X134" i="3"/>
  <c r="Y134" i="3"/>
  <c r="Z134" i="3"/>
  <c r="AA134" i="3"/>
  <c r="D139" i="3"/>
  <c r="E139" i="3"/>
  <c r="F139" i="3"/>
  <c r="G139" i="3"/>
  <c r="H139" i="3"/>
  <c r="I139" i="3"/>
  <c r="J139" i="3"/>
  <c r="K139" i="3"/>
  <c r="L139" i="3"/>
  <c r="M139" i="3"/>
  <c r="N139" i="3"/>
  <c r="O139" i="3"/>
  <c r="P139" i="3"/>
  <c r="Q139" i="3"/>
  <c r="R139" i="3"/>
  <c r="S139" i="3"/>
  <c r="T139" i="3"/>
  <c r="U139" i="3"/>
  <c r="V139" i="3"/>
  <c r="W139" i="3"/>
  <c r="X139" i="3"/>
  <c r="Y139" i="3"/>
  <c r="Z139" i="3"/>
  <c r="AA139" i="3"/>
  <c r="D140" i="3"/>
  <c r="E140" i="3"/>
  <c r="F140" i="3"/>
  <c r="G140" i="3"/>
  <c r="H140" i="3"/>
  <c r="I140" i="3"/>
  <c r="J140" i="3"/>
  <c r="K140" i="3"/>
  <c r="L140" i="3"/>
  <c r="M140" i="3"/>
  <c r="N140" i="3"/>
  <c r="O140" i="3"/>
  <c r="P140" i="3"/>
  <c r="Q140" i="3"/>
  <c r="R140" i="3"/>
  <c r="S140" i="3"/>
  <c r="T140" i="3"/>
  <c r="U140" i="3"/>
  <c r="V140" i="3"/>
  <c r="W140" i="3"/>
  <c r="X140" i="3"/>
  <c r="Y140" i="3"/>
  <c r="Z140" i="3"/>
  <c r="AA140" i="3"/>
  <c r="D142" i="3"/>
  <c r="E142" i="3"/>
  <c r="F142" i="3"/>
  <c r="G142" i="3"/>
  <c r="H142" i="3"/>
  <c r="I142" i="3"/>
  <c r="J142" i="3"/>
  <c r="K142" i="3"/>
  <c r="L142" i="3"/>
  <c r="M142" i="3"/>
  <c r="N142" i="3"/>
  <c r="O142" i="3"/>
  <c r="P142" i="3"/>
  <c r="Q142" i="3"/>
  <c r="R142" i="3"/>
  <c r="S142" i="3"/>
  <c r="T142" i="3"/>
  <c r="U142" i="3"/>
  <c r="V142" i="3"/>
  <c r="W142" i="3"/>
  <c r="X142" i="3"/>
  <c r="Y142" i="3"/>
  <c r="Z142" i="3"/>
  <c r="AA142" i="3"/>
  <c r="D143" i="3"/>
  <c r="E143" i="3"/>
  <c r="F143" i="3"/>
  <c r="G143" i="3"/>
  <c r="H143" i="3"/>
  <c r="I143" i="3"/>
  <c r="J143" i="3"/>
  <c r="K143" i="3"/>
  <c r="L143" i="3"/>
  <c r="M143" i="3"/>
  <c r="N143" i="3"/>
  <c r="O143" i="3"/>
  <c r="P143" i="3"/>
  <c r="Q143" i="3"/>
  <c r="R143" i="3"/>
  <c r="S143" i="3"/>
  <c r="T143" i="3"/>
  <c r="U143" i="3"/>
  <c r="V143" i="3"/>
  <c r="W143" i="3"/>
  <c r="X143" i="3"/>
  <c r="Y143" i="3"/>
  <c r="Z143" i="3"/>
  <c r="AA143" i="3"/>
  <c r="D149" i="3"/>
  <c r="E149" i="3"/>
  <c r="F149" i="3"/>
  <c r="G149" i="3"/>
  <c r="H149" i="3"/>
  <c r="I149" i="3"/>
  <c r="J149" i="3"/>
  <c r="K149" i="3"/>
  <c r="L149" i="3"/>
  <c r="M149" i="3"/>
  <c r="N149" i="3"/>
  <c r="O149" i="3"/>
  <c r="P149" i="3"/>
  <c r="Q149" i="3"/>
  <c r="R149" i="3"/>
  <c r="S149" i="3"/>
  <c r="T149" i="3"/>
  <c r="U149" i="3"/>
  <c r="V149" i="3"/>
  <c r="W149" i="3"/>
  <c r="X149" i="3"/>
  <c r="Y149" i="3"/>
  <c r="Z149" i="3"/>
  <c r="AA149" i="3"/>
  <c r="D150" i="3"/>
  <c r="E150" i="3"/>
  <c r="F150" i="3"/>
  <c r="G150" i="3"/>
  <c r="H150" i="3"/>
  <c r="I150" i="3"/>
  <c r="J150" i="3"/>
  <c r="K150" i="3"/>
  <c r="L150" i="3"/>
  <c r="M150" i="3"/>
  <c r="N150" i="3"/>
  <c r="O150" i="3"/>
  <c r="P150" i="3"/>
  <c r="Q150" i="3"/>
  <c r="R150" i="3"/>
  <c r="S150" i="3"/>
  <c r="T150" i="3"/>
  <c r="U150" i="3"/>
  <c r="V150" i="3"/>
  <c r="W150" i="3"/>
  <c r="X150" i="3"/>
  <c r="Y150" i="3"/>
  <c r="Z150" i="3"/>
  <c r="AA150" i="3"/>
  <c r="D153" i="3"/>
  <c r="E153" i="3"/>
  <c r="F153" i="3"/>
  <c r="G153" i="3"/>
  <c r="H153" i="3"/>
  <c r="I153" i="3"/>
  <c r="J153" i="3"/>
  <c r="K153" i="3"/>
  <c r="L153" i="3"/>
  <c r="M153" i="3"/>
  <c r="N153" i="3"/>
  <c r="O153" i="3"/>
  <c r="P153" i="3"/>
  <c r="Q153" i="3"/>
  <c r="R153" i="3"/>
  <c r="S153" i="3"/>
  <c r="T153" i="3"/>
  <c r="U153" i="3"/>
  <c r="V153" i="3"/>
  <c r="W153" i="3"/>
  <c r="X153" i="3"/>
  <c r="Y153" i="3"/>
  <c r="Z153" i="3"/>
  <c r="AA153" i="3"/>
  <c r="D155" i="3"/>
  <c r="E155" i="3"/>
  <c r="F155" i="3"/>
  <c r="G155" i="3"/>
  <c r="H155" i="3"/>
  <c r="I155" i="3"/>
  <c r="J155" i="3"/>
  <c r="K155" i="3"/>
  <c r="L155" i="3"/>
  <c r="M155" i="3"/>
  <c r="N155" i="3"/>
  <c r="O155" i="3"/>
  <c r="P155" i="3"/>
  <c r="Q155" i="3"/>
  <c r="R155" i="3"/>
  <c r="S155" i="3"/>
  <c r="T155" i="3"/>
  <c r="U155" i="3"/>
  <c r="V155" i="3"/>
  <c r="W155" i="3"/>
  <c r="X155" i="3"/>
  <c r="Y155" i="3"/>
  <c r="Z155" i="3"/>
  <c r="AA155" i="3"/>
  <c r="E164" i="3"/>
  <c r="F164" i="3"/>
  <c r="G164" i="3"/>
  <c r="H164" i="3"/>
  <c r="I164" i="3"/>
  <c r="J164" i="3"/>
  <c r="K164" i="3"/>
  <c r="L164" i="3"/>
  <c r="M164" i="3"/>
  <c r="N164" i="3"/>
  <c r="O164" i="3"/>
  <c r="P164" i="3"/>
  <c r="Q164" i="3"/>
  <c r="R164" i="3"/>
  <c r="S164" i="3"/>
  <c r="T164" i="3"/>
  <c r="U164" i="3"/>
  <c r="V164" i="3"/>
  <c r="W164" i="3"/>
  <c r="X164" i="3"/>
  <c r="Y164" i="3"/>
  <c r="Z164" i="3"/>
  <c r="AA164" i="3"/>
  <c r="D165" i="3"/>
  <c r="E165" i="3"/>
  <c r="F165" i="3"/>
  <c r="G165" i="3"/>
  <c r="H165" i="3"/>
  <c r="I165" i="3"/>
  <c r="J165" i="3"/>
  <c r="K165" i="3"/>
  <c r="L165" i="3"/>
  <c r="M165" i="3"/>
  <c r="N165" i="3"/>
  <c r="O165" i="3"/>
  <c r="P165" i="3"/>
  <c r="Q165" i="3"/>
  <c r="R165" i="3"/>
  <c r="S165" i="3"/>
  <c r="T165" i="3"/>
  <c r="U165" i="3"/>
  <c r="V165" i="3"/>
  <c r="W165" i="3"/>
  <c r="X165" i="3"/>
  <c r="Y165" i="3"/>
  <c r="Z165" i="3"/>
  <c r="AA165" i="3"/>
  <c r="D166" i="3"/>
  <c r="E166" i="3"/>
  <c r="F166" i="3"/>
  <c r="G166" i="3"/>
  <c r="H166" i="3"/>
  <c r="I166" i="3"/>
  <c r="J166" i="3"/>
  <c r="K166" i="3"/>
  <c r="L166" i="3"/>
  <c r="M166" i="3"/>
  <c r="N166" i="3"/>
  <c r="O166" i="3"/>
  <c r="P166" i="3"/>
  <c r="Q166" i="3"/>
  <c r="R166" i="3"/>
  <c r="S166" i="3"/>
  <c r="T166" i="3"/>
  <c r="U166" i="3"/>
  <c r="V166" i="3"/>
  <c r="W166" i="3"/>
  <c r="X166" i="3"/>
  <c r="Y166" i="3"/>
  <c r="Z166" i="3"/>
  <c r="AA166" i="3"/>
  <c r="E171" i="3"/>
  <c r="F171" i="3"/>
  <c r="G171" i="3"/>
  <c r="H171" i="3"/>
  <c r="I171" i="3"/>
  <c r="J171" i="3"/>
  <c r="K171" i="3"/>
  <c r="L171" i="3"/>
  <c r="M171" i="3"/>
  <c r="N171" i="3"/>
  <c r="O171" i="3"/>
  <c r="P171" i="3"/>
  <c r="Q171" i="3"/>
  <c r="R171" i="3"/>
  <c r="S171" i="3"/>
  <c r="T171" i="3"/>
  <c r="U171" i="3"/>
  <c r="V171" i="3"/>
  <c r="W171" i="3"/>
  <c r="X171" i="3"/>
  <c r="Y171" i="3"/>
  <c r="Z171" i="3"/>
  <c r="AA171" i="3"/>
  <c r="D172" i="3"/>
  <c r="E172" i="3"/>
  <c r="F172" i="3"/>
  <c r="G172" i="3"/>
  <c r="H172" i="3"/>
  <c r="I172" i="3"/>
  <c r="J172" i="3"/>
  <c r="K172" i="3"/>
  <c r="L172" i="3"/>
  <c r="M172" i="3"/>
  <c r="N172" i="3"/>
  <c r="O172" i="3"/>
  <c r="P172" i="3"/>
  <c r="Q172" i="3"/>
  <c r="R172" i="3"/>
  <c r="S172" i="3"/>
  <c r="T172" i="3"/>
  <c r="U172" i="3"/>
  <c r="V172" i="3"/>
  <c r="W172" i="3"/>
  <c r="X172" i="3"/>
  <c r="Y172" i="3"/>
  <c r="Z172" i="3"/>
  <c r="AA172" i="3"/>
  <c r="D173" i="3"/>
  <c r="E173" i="3"/>
  <c r="F173" i="3"/>
  <c r="G173" i="3"/>
  <c r="H173" i="3"/>
  <c r="I173" i="3"/>
  <c r="J173" i="3"/>
  <c r="K173" i="3"/>
  <c r="L173" i="3"/>
  <c r="M173" i="3"/>
  <c r="N173" i="3"/>
  <c r="O173" i="3"/>
  <c r="P173" i="3"/>
  <c r="Q173" i="3"/>
  <c r="R173" i="3"/>
  <c r="S173" i="3"/>
  <c r="T173" i="3"/>
  <c r="U173" i="3"/>
  <c r="V173" i="3"/>
  <c r="W173" i="3"/>
  <c r="X173" i="3"/>
  <c r="Y173" i="3"/>
  <c r="Z173" i="3"/>
  <c r="AA173" i="3"/>
  <c r="D176" i="3"/>
  <c r="E176" i="3"/>
  <c r="F176" i="3"/>
  <c r="G176" i="3"/>
  <c r="H176" i="3"/>
  <c r="I176" i="3"/>
  <c r="J176" i="3"/>
  <c r="K176" i="3"/>
  <c r="L176" i="3"/>
  <c r="M176" i="3"/>
  <c r="N176" i="3"/>
  <c r="O176" i="3"/>
  <c r="P176" i="3"/>
  <c r="Q176" i="3"/>
  <c r="R176" i="3"/>
  <c r="S176" i="3"/>
  <c r="T176" i="3"/>
  <c r="U176" i="3"/>
  <c r="V176" i="3"/>
  <c r="W176" i="3"/>
  <c r="X176" i="3"/>
  <c r="Y176" i="3"/>
  <c r="Z176" i="3"/>
  <c r="AA176" i="3"/>
  <c r="D178" i="3"/>
  <c r="E178" i="3"/>
  <c r="F178" i="3"/>
  <c r="G178" i="3"/>
  <c r="H178" i="3"/>
  <c r="I178" i="3"/>
  <c r="J178" i="3"/>
  <c r="K178" i="3"/>
  <c r="L178" i="3"/>
  <c r="M178" i="3"/>
  <c r="N178" i="3"/>
  <c r="O178" i="3"/>
  <c r="P178" i="3"/>
  <c r="Q178" i="3"/>
  <c r="R178" i="3"/>
  <c r="S178" i="3"/>
  <c r="T178" i="3"/>
  <c r="U178" i="3"/>
  <c r="V178" i="3"/>
  <c r="W178" i="3"/>
  <c r="X178" i="3"/>
  <c r="Y178" i="3"/>
  <c r="Z178" i="3"/>
  <c r="AA178" i="3"/>
  <c r="E187" i="3"/>
  <c r="F187" i="3"/>
  <c r="G187" i="3"/>
  <c r="H187" i="3"/>
  <c r="I187" i="3"/>
  <c r="J187" i="3"/>
  <c r="K187" i="3"/>
  <c r="L187" i="3"/>
  <c r="M187" i="3"/>
  <c r="N187" i="3"/>
  <c r="O187" i="3"/>
  <c r="P187" i="3"/>
  <c r="Q187" i="3"/>
  <c r="R187" i="3"/>
  <c r="S187" i="3"/>
  <c r="T187" i="3"/>
  <c r="U187" i="3"/>
  <c r="V187" i="3"/>
  <c r="W187" i="3"/>
  <c r="X187" i="3"/>
  <c r="Y187" i="3"/>
  <c r="Z187" i="3"/>
  <c r="AA187" i="3"/>
  <c r="D188" i="3"/>
  <c r="E188" i="3"/>
  <c r="F188" i="3"/>
  <c r="G188" i="3"/>
  <c r="H188" i="3"/>
  <c r="I188" i="3"/>
  <c r="J188" i="3"/>
  <c r="K188" i="3"/>
  <c r="L188" i="3"/>
  <c r="M188" i="3"/>
  <c r="N188" i="3"/>
  <c r="O188" i="3"/>
  <c r="P188" i="3"/>
  <c r="Q188" i="3"/>
  <c r="R188" i="3"/>
  <c r="S188" i="3"/>
  <c r="T188" i="3"/>
  <c r="U188" i="3"/>
  <c r="V188" i="3"/>
  <c r="W188" i="3"/>
  <c r="X188" i="3"/>
  <c r="Y188" i="3"/>
  <c r="Z188" i="3"/>
  <c r="AA188" i="3"/>
  <c r="D190" i="3"/>
  <c r="E190" i="3"/>
  <c r="F190" i="3"/>
  <c r="G190" i="3"/>
  <c r="H190" i="3"/>
  <c r="I190" i="3"/>
  <c r="J190" i="3"/>
  <c r="K190" i="3"/>
  <c r="L190" i="3"/>
  <c r="M190" i="3"/>
  <c r="N190" i="3"/>
  <c r="O190" i="3"/>
  <c r="P190" i="3"/>
  <c r="Q190" i="3"/>
  <c r="R190" i="3"/>
  <c r="S190" i="3"/>
  <c r="T190" i="3"/>
  <c r="U190" i="3"/>
  <c r="V190" i="3"/>
  <c r="W190" i="3"/>
  <c r="X190" i="3"/>
  <c r="Y190" i="3"/>
  <c r="Z190" i="3"/>
  <c r="AA190" i="3"/>
  <c r="D192" i="3"/>
  <c r="E192" i="3"/>
  <c r="F192" i="3"/>
  <c r="G192" i="3"/>
  <c r="H192" i="3"/>
  <c r="I192" i="3"/>
  <c r="J192" i="3"/>
  <c r="K192" i="3"/>
  <c r="L192" i="3"/>
  <c r="M192" i="3"/>
  <c r="N192" i="3"/>
  <c r="O192" i="3"/>
  <c r="P192" i="3"/>
  <c r="Q192" i="3"/>
  <c r="R192" i="3"/>
  <c r="S192" i="3"/>
  <c r="T192" i="3"/>
  <c r="U192" i="3"/>
  <c r="V192" i="3"/>
  <c r="W192" i="3"/>
  <c r="X192" i="3"/>
  <c r="Y192" i="3"/>
  <c r="Z192" i="3"/>
  <c r="AA192" i="3"/>
  <c r="E199" i="3"/>
  <c r="F199" i="3"/>
  <c r="G199" i="3"/>
  <c r="H199" i="3"/>
  <c r="I199" i="3"/>
  <c r="J199" i="3"/>
  <c r="K199" i="3"/>
  <c r="L199" i="3"/>
  <c r="M199" i="3"/>
  <c r="N199" i="3"/>
  <c r="O199" i="3"/>
  <c r="P199" i="3"/>
  <c r="Q199" i="3"/>
  <c r="R199" i="3"/>
  <c r="S199" i="3"/>
  <c r="T199" i="3"/>
  <c r="U199" i="3"/>
  <c r="V199" i="3"/>
  <c r="W199" i="3"/>
  <c r="X199" i="3"/>
  <c r="Y199" i="3"/>
  <c r="Z199" i="3"/>
  <c r="AA199" i="3"/>
  <c r="D200" i="3"/>
  <c r="E200" i="3"/>
  <c r="F200" i="3"/>
  <c r="G200" i="3"/>
  <c r="H200" i="3"/>
  <c r="I200" i="3"/>
  <c r="J200" i="3"/>
  <c r="K200" i="3"/>
  <c r="L200" i="3"/>
  <c r="M200" i="3"/>
  <c r="N200" i="3"/>
  <c r="O200" i="3"/>
  <c r="P200" i="3"/>
  <c r="Q200" i="3"/>
  <c r="R200" i="3"/>
  <c r="S200" i="3"/>
  <c r="T200" i="3"/>
  <c r="U200" i="3"/>
  <c r="V200" i="3"/>
  <c r="W200" i="3"/>
  <c r="X200" i="3"/>
  <c r="Y200" i="3"/>
  <c r="Z200" i="3"/>
  <c r="AA200" i="3"/>
  <c r="D201" i="3"/>
  <c r="E201" i="3"/>
  <c r="F201" i="3"/>
  <c r="G201" i="3"/>
  <c r="H201" i="3"/>
  <c r="I201" i="3"/>
  <c r="J201" i="3"/>
  <c r="K201" i="3"/>
  <c r="L201" i="3"/>
  <c r="M201" i="3"/>
  <c r="N201" i="3"/>
  <c r="O201" i="3"/>
  <c r="P201" i="3"/>
  <c r="Q201" i="3"/>
  <c r="R201" i="3"/>
  <c r="S201" i="3"/>
  <c r="T201" i="3"/>
  <c r="U201" i="3"/>
  <c r="V201" i="3"/>
  <c r="W201" i="3"/>
  <c r="X201" i="3"/>
  <c r="Y201" i="3"/>
  <c r="Z201" i="3"/>
  <c r="AA201" i="3"/>
  <c r="D204" i="3"/>
  <c r="E204" i="3"/>
  <c r="F204" i="3"/>
  <c r="G204" i="3"/>
  <c r="H204" i="3"/>
  <c r="I204" i="3"/>
  <c r="J204" i="3"/>
  <c r="K204" i="3"/>
  <c r="L204" i="3"/>
  <c r="M204" i="3"/>
  <c r="N204" i="3"/>
  <c r="O204" i="3"/>
  <c r="P204" i="3"/>
  <c r="Q204" i="3"/>
  <c r="R204" i="3"/>
  <c r="S204" i="3"/>
  <c r="T204" i="3"/>
  <c r="U204" i="3"/>
  <c r="V204" i="3"/>
  <c r="W204" i="3"/>
  <c r="X204" i="3"/>
  <c r="Y204" i="3"/>
  <c r="Z204" i="3"/>
  <c r="AA204" i="3"/>
  <c r="D206" i="3"/>
  <c r="E206" i="3"/>
  <c r="F206" i="3"/>
  <c r="G206" i="3"/>
  <c r="H206" i="3"/>
  <c r="I206" i="3"/>
  <c r="J206" i="3"/>
  <c r="K206" i="3"/>
  <c r="L206" i="3"/>
  <c r="M206" i="3"/>
  <c r="N206" i="3"/>
  <c r="O206" i="3"/>
  <c r="P206" i="3"/>
  <c r="Q206" i="3"/>
  <c r="R206" i="3"/>
  <c r="S206" i="3"/>
  <c r="T206" i="3"/>
  <c r="U206" i="3"/>
  <c r="V206" i="3"/>
  <c r="W206" i="3"/>
  <c r="X206" i="3"/>
  <c r="Y206" i="3"/>
  <c r="Z206" i="3"/>
  <c r="AA206" i="3"/>
  <c r="M14" i="2"/>
  <c r="N14" i="2"/>
  <c r="O46" i="2"/>
  <c r="O51" i="2"/>
  <c r="I52" i="2"/>
  <c r="O52" i="2"/>
  <c r="I53" i="2"/>
  <c r="O53" i="2"/>
  <c r="E87" i="2"/>
  <c r="F87" i="2"/>
  <c r="G87" i="2"/>
  <c r="H87" i="2"/>
  <c r="I87" i="2"/>
  <c r="J87" i="2"/>
  <c r="K87" i="2"/>
  <c r="L87" i="2"/>
  <c r="M87" i="2"/>
  <c r="N87" i="2"/>
  <c r="O87" i="2"/>
  <c r="P87" i="2"/>
  <c r="Q87" i="2"/>
  <c r="R87" i="2"/>
  <c r="S87" i="2"/>
  <c r="T87" i="2"/>
  <c r="U87" i="2"/>
  <c r="V87" i="2"/>
  <c r="W87" i="2"/>
  <c r="X87" i="2"/>
  <c r="Y87" i="2"/>
  <c r="Z87" i="2"/>
  <c r="AA87" i="2"/>
  <c r="D88" i="2"/>
  <c r="E88" i="2"/>
  <c r="F88" i="2"/>
  <c r="G88" i="2"/>
  <c r="H88" i="2"/>
  <c r="I88" i="2"/>
  <c r="J88" i="2"/>
  <c r="K88" i="2"/>
  <c r="L88" i="2"/>
  <c r="M88" i="2"/>
  <c r="N88" i="2"/>
  <c r="O88" i="2"/>
  <c r="P88" i="2"/>
  <c r="Q88" i="2"/>
  <c r="R88" i="2"/>
  <c r="S88" i="2"/>
  <c r="T88" i="2"/>
  <c r="U88" i="2"/>
  <c r="V88" i="2"/>
  <c r="W88" i="2"/>
  <c r="X88" i="2"/>
  <c r="Y88" i="2"/>
  <c r="Z88" i="2"/>
  <c r="AA88" i="2"/>
  <c r="D121" i="2"/>
  <c r="E121" i="2"/>
  <c r="F121" i="2"/>
  <c r="G121" i="2"/>
  <c r="H121" i="2"/>
  <c r="I121" i="2"/>
  <c r="J121" i="2"/>
  <c r="K121" i="2"/>
  <c r="L121" i="2"/>
  <c r="M121" i="2"/>
  <c r="N121" i="2"/>
  <c r="O121" i="2"/>
  <c r="P121" i="2"/>
  <c r="Q121" i="2"/>
  <c r="R121" i="2"/>
  <c r="S121" i="2"/>
  <c r="T121" i="2"/>
  <c r="U121" i="2"/>
  <c r="V121" i="2"/>
  <c r="W121" i="2"/>
  <c r="X121" i="2"/>
  <c r="Y121" i="2"/>
  <c r="Z121" i="2"/>
  <c r="AA121" i="2"/>
  <c r="D123" i="2"/>
  <c r="E123" i="2"/>
  <c r="F123" i="2"/>
  <c r="G123" i="2"/>
  <c r="H123" i="2"/>
  <c r="I123" i="2"/>
  <c r="J123" i="2"/>
  <c r="K123" i="2"/>
  <c r="L123" i="2"/>
  <c r="M123" i="2"/>
  <c r="N123" i="2"/>
  <c r="O123" i="2"/>
  <c r="P123" i="2"/>
  <c r="Q123" i="2"/>
  <c r="R123" i="2"/>
  <c r="S123" i="2"/>
  <c r="T123" i="2"/>
  <c r="U123" i="2"/>
  <c r="V123" i="2"/>
  <c r="W123" i="2"/>
  <c r="X123" i="2"/>
  <c r="Y123" i="2"/>
  <c r="Z123" i="2"/>
  <c r="AA123" i="2"/>
  <c r="E144" i="2"/>
  <c r="E145" i="2"/>
  <c r="E146" i="2"/>
  <c r="E147" i="2"/>
  <c r="C153" i="2"/>
  <c r="D154" i="2"/>
  <c r="E154" i="2"/>
  <c r="F154" i="2"/>
  <c r="G154" i="2"/>
  <c r="H154" i="2"/>
  <c r="D155" i="2"/>
  <c r="E155" i="2"/>
  <c r="F155" i="2"/>
  <c r="G155" i="2"/>
  <c r="H155" i="2"/>
  <c r="D156" i="2"/>
  <c r="E156" i="2"/>
  <c r="F156" i="2"/>
  <c r="G156" i="2"/>
  <c r="H156" i="2"/>
  <c r="D157" i="2"/>
  <c r="E157" i="2"/>
  <c r="F157" i="2"/>
  <c r="G157" i="2"/>
  <c r="H157" i="2"/>
  <c r="D158" i="2"/>
  <c r="E158" i="2"/>
  <c r="F158" i="2"/>
  <c r="G158" i="2"/>
  <c r="H158" i="2"/>
  <c r="D159" i="2"/>
  <c r="E159" i="2"/>
  <c r="F159" i="2"/>
  <c r="G159" i="2"/>
  <c r="H159" i="2"/>
  <c r="D160" i="2"/>
  <c r="E160" i="2"/>
  <c r="F160" i="2"/>
  <c r="G160" i="2"/>
  <c r="H160" i="2"/>
</calcChain>
</file>

<file path=xl/comments1.xml><?xml version="1.0" encoding="utf-8"?>
<comments xmlns="http://schemas.openxmlformats.org/spreadsheetml/2006/main">
  <authors>
    <author>Konstantin Evtushenko</author>
  </authors>
  <commentList>
    <comment ref="D13" authorId="0" shapeId="0">
      <text>
        <r>
          <rPr>
            <b/>
            <sz val="9"/>
            <color indexed="81"/>
            <rFont val="Tahoma"/>
            <family val="2"/>
          </rPr>
          <t>Valeriia Evtushenko:</t>
        </r>
        <r>
          <rPr>
            <sz val="9"/>
            <color indexed="81"/>
            <rFont val="Tahoma"/>
            <family val="2"/>
          </rPr>
          <t xml:space="preserve">
Represents actual historical monthly revenue for 2023-2024 (fixed, not formula-driven) — this is a retrospective diagnostic model, not a forward forecast. The scenario switch (Best/Upside/Downside) tests counterfactual growth/expense trajectories against this historical base to identify what would have needed to change for the business to survive.</t>
        </r>
      </text>
    </comment>
    <comment ref="D115" authorId="0" shapeId="0">
      <text>
        <r>
          <rPr>
            <b/>
            <sz val="9"/>
            <color indexed="81"/>
            <rFont val="Tahoma"/>
            <family val="2"/>
          </rPr>
          <t>Valeriia Evtushenko:</t>
        </r>
        <r>
          <rPr>
            <sz val="9"/>
            <color indexed="81"/>
            <rFont val="Tahoma"/>
            <family val="2"/>
          </rPr>
          <t xml:space="preserve">
Opening cash assumed at -$500, reflecting that the business already breached its $500 minimum cash covenant before the start of the review period. This triggers the initial revolver draw in Jan-2023.
Note: this figure also drives Common Equity (row 149), which is intentionally linked to it so the balance sheet stays balanced (owner equity funds the opening cash shortfall). Do not change independently of D116.</t>
        </r>
      </text>
    </comment>
  </commentList>
</comments>
</file>

<file path=xl/sharedStrings.xml><?xml version="1.0" encoding="utf-8"?>
<sst xmlns="http://schemas.openxmlformats.org/spreadsheetml/2006/main" count="393" uniqueCount="207">
  <si>
    <t>Model Checks</t>
  </si>
  <si>
    <t>Table of Contents</t>
  </si>
  <si>
    <t>Outputs</t>
  </si>
  <si>
    <t>Inputs</t>
  </si>
  <si>
    <t>Model</t>
  </si>
  <si>
    <t xml:space="preserve"> </t>
  </si>
  <si>
    <t>Driver Switch</t>
  </si>
  <si>
    <t>Historical Context — Pre-Credit Facility Period (2019–2023)</t>
  </si>
  <si>
    <t>Revenue</t>
  </si>
  <si>
    <t>Expenses</t>
  </si>
  <si>
    <t xml:space="preserve">Net Income </t>
  </si>
  <si>
    <t>Sensitivity Analysis</t>
  </si>
  <si>
    <t>NPV</t>
  </si>
  <si>
    <t>IRR</t>
  </si>
  <si>
    <t>Cash Runway</t>
  </si>
  <si>
    <t>Final Cash Balance</t>
  </si>
  <si>
    <t>Drivers</t>
  </si>
  <si>
    <t>Revenue Growth</t>
  </si>
  <si>
    <t>Upside case</t>
  </si>
  <si>
    <t>Downside Case</t>
  </si>
  <si>
    <t>Fixed Assumption</t>
  </si>
  <si>
    <t>Minimum Cash Covenant (Revolver Trigger)</t>
  </si>
  <si>
    <t>Annua lInterest Rate on Credit Line</t>
  </si>
  <si>
    <t>Long-Term Debt Assumption</t>
  </si>
  <si>
    <t>Loan Amount</t>
  </si>
  <si>
    <t>Term</t>
  </si>
  <si>
    <t>Annual Interest Rate</t>
  </si>
  <si>
    <t>Useful life of Assets</t>
  </si>
  <si>
    <t>Useful life of Assets (years)</t>
  </si>
  <si>
    <t>Segment Revenue Mix</t>
  </si>
  <si>
    <t>Italian Restaurant</t>
  </si>
  <si>
    <t>Burger Joint</t>
  </si>
  <si>
    <t>Pizzeria</t>
  </si>
  <si>
    <t>Beverage Brand</t>
  </si>
  <si>
    <t>Delivery Service</t>
  </si>
  <si>
    <t>Central Kitchen (Commissary)</t>
  </si>
  <si>
    <t xml:space="preserve">       </t>
  </si>
  <si>
    <t>Year 2023-2024</t>
  </si>
  <si>
    <t xml:space="preserve">  </t>
  </si>
  <si>
    <t>Base Revenue (generated)</t>
  </si>
  <si>
    <t>Base Expenses (generated)</t>
  </si>
  <si>
    <t>Segment P&amp;L (breakdown by business units)</t>
  </si>
  <si>
    <t>Revenue by Segment</t>
  </si>
  <si>
    <t>Japanese Restaurant</t>
  </si>
  <si>
    <t>Total Revenue</t>
  </si>
  <si>
    <t>Depreciation &amp; Amortization</t>
  </si>
  <si>
    <t>Check Revenue Total</t>
  </si>
  <si>
    <t>Cash Flow Statement</t>
  </si>
  <si>
    <t xml:space="preserve">Beginning Cash </t>
  </si>
  <si>
    <t>Ending Cash</t>
  </si>
  <si>
    <t>Principal Payment</t>
  </si>
  <si>
    <t>Beginning Balance</t>
  </si>
  <si>
    <t>Ending Balance</t>
  </si>
  <si>
    <t>NPV Sensitivity</t>
  </si>
  <si>
    <t>Discount Rate</t>
  </si>
  <si>
    <t>Gross Profit</t>
  </si>
  <si>
    <t>Expenses Growth</t>
  </si>
  <si>
    <t>COGS</t>
  </si>
  <si>
    <t>Net Cash Flow after Revolver</t>
  </si>
  <si>
    <t>Revenue vs. Total Expenses</t>
  </si>
  <si>
    <t>Revolver Balance</t>
  </si>
  <si>
    <t>Balance Sheet</t>
  </si>
  <si>
    <t>ASSETS</t>
  </si>
  <si>
    <t>LIABILITIES</t>
  </si>
  <si>
    <t>EQUITY</t>
  </si>
  <si>
    <t>Total Assets</t>
  </si>
  <si>
    <t>Total Liabilities</t>
  </si>
  <si>
    <t>Cash</t>
  </si>
  <si>
    <t>Balance Check</t>
  </si>
  <si>
    <t xml:space="preserve">Minimum Cash </t>
  </si>
  <si>
    <t>AR days</t>
  </si>
  <si>
    <t>AP days</t>
  </si>
  <si>
    <t>Inventory days</t>
  </si>
  <si>
    <t>Capex % of Revenue</t>
  </si>
  <si>
    <t>Operation Working Capital Assumption</t>
  </si>
  <si>
    <t>Accounts Receivable (AR)</t>
  </si>
  <si>
    <t>Inventory</t>
  </si>
  <si>
    <t>Acounts Payable (AP)</t>
  </si>
  <si>
    <t>Total Current Liabilities</t>
  </si>
  <si>
    <t>EBIT</t>
  </si>
  <si>
    <t>Interest</t>
  </si>
  <si>
    <t>Net Income</t>
  </si>
  <si>
    <t>Operation Expenses</t>
  </si>
  <si>
    <t>EBITDA</t>
  </si>
  <si>
    <t>All figures in CAD thousands unless stated</t>
  </si>
  <si>
    <t>2024 P&amp;L Waterfall Bridge</t>
  </si>
  <si>
    <t>P&amp;L and Cash Flow Waterfall Bridges</t>
  </si>
  <si>
    <t>Capital Expenditures</t>
  </si>
  <si>
    <t>Change in Net Working Capital</t>
  </si>
  <si>
    <t>Revolver Draw (net)</t>
  </si>
  <si>
    <t>Revolver Limit</t>
  </si>
  <si>
    <t>Term Loan Principal Payment</t>
  </si>
  <si>
    <t>Analysis by Segments in 2024</t>
  </si>
  <si>
    <t>Balance Sheet Unbalanced</t>
  </si>
  <si>
    <t>Financial Model – Multi‑Segment F&amp;B Business</t>
  </si>
  <si>
    <t>LinkedIn: linkedin.com/in/valeriia-evtushenko-51110a304</t>
  </si>
  <si>
    <t>© 2026 Valeriia Evtushenko</t>
  </si>
  <si>
    <t>All rights reserved</t>
  </si>
  <si>
    <t>Fictional case study, created for portfolio demonstration purposes.</t>
  </si>
  <si>
    <t>All data is synthetic and not based on any real company.</t>
  </si>
  <si>
    <t>Net Cash Flow before Revolver</t>
  </si>
  <si>
    <t>COGS by Segment</t>
  </si>
  <si>
    <t xml:space="preserve">Government Grants </t>
  </si>
  <si>
    <t>Government Grants</t>
  </si>
  <si>
    <t>Total Net Income vs. Government Grants</t>
  </si>
  <si>
    <t>Segment COGS Mix</t>
  </si>
  <si>
    <t>Total COGS</t>
  </si>
  <si>
    <t>Check COGS Total</t>
  </si>
  <si>
    <t>CASH FROM OPERATIONS</t>
  </si>
  <si>
    <t>CASH FROM INVESTING</t>
  </si>
  <si>
    <t>CASH FROM FINANCING</t>
  </si>
  <si>
    <t>CASH BALANCE</t>
  </si>
  <si>
    <t>Capital Expenditure</t>
  </si>
  <si>
    <t>Operation Expenses by Segment</t>
  </si>
  <si>
    <t>Total Segment Operating Expenses</t>
  </si>
  <si>
    <t>Check ExpensesTotal</t>
  </si>
  <si>
    <t>Gross Profit by Segment</t>
  </si>
  <si>
    <t>Total Gross Profi</t>
  </si>
  <si>
    <t xml:space="preserve">Operating Expenses </t>
  </si>
  <si>
    <t>CASH</t>
  </si>
  <si>
    <t>Increase / (Decrease)</t>
  </si>
  <si>
    <t>Interest Rate</t>
  </si>
  <si>
    <t>LONG TERM DEBT</t>
  </si>
  <si>
    <t>Interest Expense</t>
  </si>
  <si>
    <t>AVAILABLE CASH</t>
  </si>
  <si>
    <t>Beginning Cash Balance</t>
  </si>
  <si>
    <t>Cash from Operations</t>
  </si>
  <si>
    <t>Cash from Investing</t>
  </si>
  <si>
    <t>Change in Long-Term Debt</t>
  </si>
  <si>
    <t>Cash Available for Revolving Credit Line</t>
  </si>
  <si>
    <t>REVOLVING CREDIT LINE</t>
  </si>
  <si>
    <t>Subtotal</t>
  </si>
  <si>
    <t>Cash From Accounts Receivable</t>
  </si>
  <si>
    <t>Cash From Inventory</t>
  </si>
  <si>
    <t>Cash From Accounts Payable</t>
  </si>
  <si>
    <t xml:space="preserve">Working Capital Schedule </t>
  </si>
  <si>
    <t>Days in Period</t>
  </si>
  <si>
    <t>Accounts Receivable</t>
  </si>
  <si>
    <t>Accounts Payable</t>
  </si>
  <si>
    <t>CASH CHANGES</t>
  </si>
  <si>
    <t>Cash from Working Capital Items</t>
  </si>
  <si>
    <t>Tax Rate</t>
  </si>
  <si>
    <t>Taxes</t>
  </si>
  <si>
    <t>Tax Assumption Note:</t>
  </si>
  <si>
    <t>In a real‑world model with positive earnings, I would add an income tax line between EBIT and Net Income and adjust the cash flow statement accordingly.</t>
  </si>
  <si>
    <t>No income tax is included in this model because the company generates negative Net Income in all periods (2023–2024), resulting in zero taxable income.</t>
  </si>
  <si>
    <t>For reference, the combined corporate tax rate in Nova Scotia is approximately 29% (15% federal + 14% provincial)</t>
  </si>
  <si>
    <t>Intrinsic Valuation - Calculating WACC</t>
  </si>
  <si>
    <t>Using the Capital Asset Pricing Model (CAPM) to calculate the Cost of Equity</t>
  </si>
  <si>
    <t>Risk free rate</t>
  </si>
  <si>
    <t>Beta</t>
  </si>
  <si>
    <t>Equity Risk Premium</t>
  </si>
  <si>
    <t>Cost of Equity</t>
  </si>
  <si>
    <t>Calculation of Weighted Average Cost of Capital (WACC)</t>
  </si>
  <si>
    <t>Target Debt Weight (% of Total Capital Structure)</t>
  </si>
  <si>
    <t>Target Equity Weight (% of Total Capital Structure)</t>
  </si>
  <si>
    <t>Cost of Debt</t>
  </si>
  <si>
    <t>After-tax Cost of Debt</t>
  </si>
  <si>
    <t>WACC</t>
  </si>
  <si>
    <t>Income Statement</t>
  </si>
  <si>
    <t>TOTAL AMOUNTS</t>
  </si>
  <si>
    <t>Debt Schedule: Part  1</t>
  </si>
  <si>
    <t>Debt Schedule: Part  2</t>
  </si>
  <si>
    <t>Increase / Decrease</t>
  </si>
  <si>
    <t>Change in Revolving Credit Line</t>
  </si>
  <si>
    <t>Inventories</t>
  </si>
  <si>
    <t>Total Current Assets</t>
  </si>
  <si>
    <t>Property Plant &amp; Equipment</t>
  </si>
  <si>
    <t>Revolving Credit Line</t>
  </si>
  <si>
    <t>Long-Term Debt</t>
  </si>
  <si>
    <t>Total Liabilities &amp; Equity</t>
  </si>
  <si>
    <t>Common Equity</t>
  </si>
  <si>
    <t>Retained Earnings</t>
  </si>
  <si>
    <t>Total Shareholders' Equity</t>
  </si>
  <si>
    <t>Free Capacity</t>
  </si>
  <si>
    <t xml:space="preserve">Increase / (Decrease) </t>
  </si>
  <si>
    <t>Net Change in Cash</t>
  </si>
  <si>
    <t>2024 Cash Flow Waterfall Bridge</t>
  </si>
  <si>
    <t>Oper. Exp.</t>
  </si>
  <si>
    <t>Debt / EBITDA (Leverage Ratio)</t>
  </si>
  <si>
    <t>Total Debt</t>
  </si>
  <si>
    <t>Annualized EBITDA</t>
  </si>
  <si>
    <t>Leverage Ratio</t>
  </si>
  <si>
    <t>Historical analysis (2019–2022) shows that the company was unprofitable every year before the revolver was introduced. Grants temporarily covered the gap, but by 2023 the shortfall exceeded available funding, forcing the company to rely on debt.</t>
  </si>
  <si>
    <t>Cash flow analysis</t>
  </si>
  <si>
    <t>Expense Growth</t>
  </si>
  <si>
    <t>Segment Expenses Mix</t>
  </si>
  <si>
    <t>*n/a — all periods generate negative cash flow, so no IRR solution exists</t>
  </si>
  <si>
    <t>Base Case</t>
  </si>
  <si>
    <t>EBITDA by Segment</t>
  </si>
  <si>
    <t>Total Segment EBITDA</t>
  </si>
  <si>
    <t>EBITDA Analysis by Segments in 2024</t>
  </si>
  <si>
    <t xml:space="preserve">Note: Analysis performed at EBITDA level (Revenue − COGS − OpEx) because D&amp;A, interest, </t>
  </si>
  <si>
    <t xml:space="preserve">and grants are company-wide items without a clean segment-level allocation basis. </t>
  </si>
  <si>
    <t>This isolates operating performance per segment from financing/capital-structure decisions made at the corporate level.</t>
  </si>
  <si>
    <t>at the corporate level.</t>
  </si>
  <si>
    <t>Revolver Interest Expense</t>
  </si>
  <si>
    <t>Model Circularity</t>
  </si>
  <si>
    <t>Do Not</t>
  </si>
  <si>
    <t>Delete</t>
  </si>
  <si>
    <t>Circularity</t>
  </si>
  <si>
    <t>On</t>
  </si>
  <si>
    <t>Off</t>
  </si>
  <si>
    <t>Operating expenses and interest now exceed total revenue, driving a deeper structural deficit than previously modeled — the business does not generate enough cash from operations to sustain itself.</t>
  </si>
  <si>
    <t>The revolver reaches its limit of 20,000 in August 2024 — four months earlier than initially modeled. From that point, cash covenant breaches occur immediately, as the company has no remaining capacity to draw on the revolver to cover the shortfall.</t>
  </si>
  <si>
    <t>At WACC = 11.1%, NPV remains negative across the entire sensitivity grid — every combination of discount rate (5%–25%) and government grants (0–2,400) tested. The business does not generate a viable return under any modeled scenario within its current cost and capital structure.</t>
  </si>
  <si>
    <t>All 7 segments are unprofitable. The largest EBITDA losses come from Italian Restaurant (3,688) and Japanese Restaurant (2,563). Central Kitchen shows the smallest EBITDA loss (569), but this reflects its role as an internal cost center with no external revenue, not genuine profitability. Among revenue-generating segments, Beverage Brand performs best, losing 746. This indicates a structural problem — not just one or two weak 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</si>
</sst>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quot;A&quot;"/>
    <numFmt numFmtId="165" formatCode="0.0%"/>
    <numFmt numFmtId="166" formatCode="dd/mm/yyyy;@"/>
    <numFmt numFmtId="167" formatCode="_(#,##0_);\(#,##0\);_(&quot;–&quot;_);_(@_)"/>
    <numFmt numFmtId="168" formatCode="[=1]&quot;Yes&quot;;[=0]&quot;No&quot;"/>
    <numFmt numFmtId="169" formatCode="#,##0.0000000"/>
    <numFmt numFmtId="170" formatCode="_(#,##0_)_%;\(#,##0\)_%;_(&quot;–&quot;_)_%;_(@_)_%"/>
    <numFmt numFmtId="171" formatCode="_(#,##0.0%_);\(#,##0.0%\);_(&quot;–&quot;_)_%;_(@_)_%"/>
    <numFmt numFmtId="172" formatCode="_(#,##0.0_);\(#,##0.0\);_(&quot;–&quot;_);_(@_)"/>
    <numFmt numFmtId="173" formatCode="_(#,##0.00_);\(#,##0.00\);_(&quot;–&quot;_);_(@_)"/>
    <numFmt numFmtId="174" formatCode="0.0&quot;x&quot;"/>
  </numFmts>
  <fonts count="56">
    <font>
      <sz val="11"/>
      <color theme="1"/>
      <name val="Calibri"/>
      <family val="2"/>
      <scheme val="minor"/>
    </font>
    <font>
      <sz val="11"/>
      <color rgb="FF0000FF"/>
      <name val="Arial Narrow"/>
      <family val="2"/>
    </font>
    <font>
      <sz val="11"/>
      <color theme="1"/>
      <name val="Arial Narrow"/>
      <family val="2"/>
    </font>
    <font>
      <b/>
      <sz val="10"/>
      <color theme="0"/>
      <name val="Arial Narrow"/>
      <family val="2"/>
    </font>
    <font>
      <sz val="10"/>
      <color theme="0"/>
      <name val="Arial Narrow"/>
      <family val="2"/>
    </font>
    <font>
      <b/>
      <sz val="10"/>
      <name val="Arial Narrow"/>
      <family val="2"/>
    </font>
    <font>
      <b/>
      <sz val="10"/>
      <color rgb="FF3271D2"/>
      <name val="Arial Narrow"/>
      <family val="2"/>
    </font>
    <font>
      <b/>
      <sz val="10"/>
      <color rgb="FF000000"/>
      <name val="Arial Narrow"/>
      <family val="2"/>
    </font>
    <font>
      <sz val="12"/>
      <color theme="1"/>
      <name val="Arial Narrow"/>
      <family val="2"/>
    </font>
    <font>
      <sz val="10"/>
      <color theme="1"/>
      <name val="Arial Narrow"/>
      <family val="2"/>
    </font>
    <font>
      <sz val="10"/>
      <color rgb="FF0000FF"/>
      <name val="Arial Narrow"/>
      <family val="2"/>
    </font>
    <font>
      <sz val="10"/>
      <color rgb="FF3271D2"/>
      <name val="Arial Narrow"/>
      <family val="2"/>
    </font>
    <font>
      <sz val="10"/>
      <color rgb="FF000000"/>
      <name val="Arial Narrow"/>
      <family val="2"/>
    </font>
    <font>
      <sz val="10"/>
      <name val="Arial Narrow"/>
      <family val="2"/>
    </font>
    <font>
      <b/>
      <sz val="14"/>
      <color theme="0"/>
      <name val="Arial Narrow"/>
      <family val="2"/>
    </font>
    <font>
      <b/>
      <sz val="11"/>
      <color theme="1"/>
      <name val="Arial Narrow"/>
      <family val="2"/>
    </font>
    <font>
      <sz val="11"/>
      <color theme="0"/>
      <name val="Arial Narrow"/>
      <family val="2"/>
    </font>
    <font>
      <i/>
      <sz val="11"/>
      <color rgb="FF000000"/>
      <name val="Calibri"/>
      <family val="2"/>
      <scheme val="minor"/>
    </font>
    <font>
      <sz val="12"/>
      <color rgb="FF0000FF"/>
      <name val="Arial Narrow"/>
      <family val="2"/>
    </font>
    <font>
      <b/>
      <sz val="11"/>
      <color theme="0"/>
      <name val="Arial Narrow"/>
      <family val="2"/>
    </font>
    <font>
      <b/>
      <sz val="12"/>
      <color theme="0"/>
      <name val="Arial Narrow"/>
      <family val="2"/>
    </font>
    <font>
      <b/>
      <sz val="12"/>
      <color theme="1"/>
      <name val="Arial Narrow"/>
      <family val="2"/>
    </font>
    <font>
      <b/>
      <sz val="12"/>
      <name val="Arial Narrow"/>
      <family val="2"/>
    </font>
    <font>
      <b/>
      <sz val="11"/>
      <name val="Arial Narrow"/>
      <family val="2"/>
    </font>
    <font>
      <sz val="11"/>
      <color theme="1"/>
      <name val="Calibri"/>
      <family val="2"/>
      <scheme val="minor"/>
    </font>
    <font>
      <sz val="11"/>
      <name val="Arial Narrow"/>
      <family val="2"/>
    </font>
    <font>
      <i/>
      <sz val="12"/>
      <color theme="1"/>
      <name val="Arial Narrow"/>
      <family val="2"/>
    </font>
    <font>
      <u/>
      <sz val="11"/>
      <color theme="10"/>
      <name val="Calibri"/>
      <family val="2"/>
      <scheme val="minor"/>
    </font>
    <font>
      <u/>
      <sz val="10"/>
      <color theme="10"/>
      <name val="Arial"/>
      <family val="2"/>
    </font>
    <font>
      <sz val="11"/>
      <color theme="0"/>
      <name val="Calibri"/>
      <family val="2"/>
      <scheme val="minor"/>
    </font>
    <font>
      <b/>
      <i/>
      <sz val="12"/>
      <name val="Arial Narrow"/>
      <family val="2"/>
    </font>
    <font>
      <sz val="16"/>
      <color theme="1"/>
      <name val="Arial Narrow"/>
      <family val="2"/>
    </font>
    <font>
      <sz val="18"/>
      <color theme="1"/>
      <name val="Arial Narrow"/>
      <family val="2"/>
    </font>
    <font>
      <sz val="20"/>
      <color theme="1"/>
      <name val="Arial Narrow"/>
      <family val="2"/>
    </font>
    <font>
      <b/>
      <sz val="18"/>
      <color rgb="FF002060"/>
      <name val="Arial Narrow"/>
      <family val="2"/>
    </font>
    <font>
      <b/>
      <u/>
      <sz val="18"/>
      <color rgb="FF002060"/>
      <name val="Arial Narrow"/>
      <family val="2"/>
    </font>
    <font>
      <b/>
      <sz val="24"/>
      <color rgb="FF002060"/>
      <name val="Arial Narrow"/>
      <family val="2"/>
    </font>
    <font>
      <i/>
      <sz val="10"/>
      <color theme="2" tint="-0.749992370372631"/>
      <name val="Arial Narrow"/>
      <family val="2"/>
    </font>
    <font>
      <sz val="11"/>
      <color theme="2" tint="-0.749992370372631"/>
      <name val="Calibri"/>
      <family val="2"/>
      <scheme val="minor"/>
    </font>
    <font>
      <i/>
      <sz val="11"/>
      <color theme="2" tint="-0.749992370372631"/>
      <name val="Arial Narrow"/>
      <family val="2"/>
    </font>
    <font>
      <sz val="18"/>
      <color theme="2" tint="-0.749992370372631"/>
      <name val="Arial Narrow"/>
      <family val="2"/>
    </font>
    <font>
      <sz val="10"/>
      <name val="Open Sans"/>
      <family val="2"/>
    </font>
    <font>
      <b/>
      <sz val="16"/>
      <color theme="0"/>
      <name val="Arial Narrow"/>
      <family val="2"/>
    </font>
    <font>
      <b/>
      <sz val="10"/>
      <color theme="0"/>
      <name val="Open Sans"/>
      <family val="2"/>
    </font>
    <font>
      <i/>
      <sz val="9"/>
      <name val="Open Sans"/>
      <family val="2"/>
    </font>
    <font>
      <b/>
      <sz val="10"/>
      <name val="Open Sans"/>
      <family val="2"/>
    </font>
    <font>
      <sz val="11"/>
      <color theme="1"/>
      <name val="Open Sans"/>
      <family val="2"/>
    </font>
    <font>
      <i/>
      <sz val="11"/>
      <color theme="1" tint="0.249977111117893"/>
      <name val="Arial Narrow"/>
      <family val="2"/>
    </font>
    <font>
      <b/>
      <i/>
      <u/>
      <sz val="11"/>
      <color theme="1" tint="0.249977111117893"/>
      <name val="Arial Narrow"/>
      <family val="2"/>
    </font>
    <font>
      <b/>
      <sz val="11"/>
      <color rgb="FF000000"/>
      <name val="Open Sans"/>
      <family val="2"/>
    </font>
    <font>
      <sz val="12"/>
      <name val="Arial Narrow"/>
      <family val="2"/>
    </font>
    <font>
      <b/>
      <sz val="11"/>
      <color theme="1"/>
      <name val="Calibri"/>
      <family val="2"/>
      <scheme val="minor"/>
    </font>
    <font>
      <b/>
      <sz val="11"/>
      <color rgb="FF0D1B3E"/>
      <name val="Arial Narrow"/>
      <family val="2"/>
    </font>
    <font>
      <i/>
      <sz val="11"/>
      <color theme="1" tint="0.34998626667073579"/>
      <name val="Arial Narrow"/>
      <family val="2"/>
    </font>
    <font>
      <sz val="9"/>
      <color indexed="81"/>
      <name val="Tahoma"/>
      <family val="2"/>
    </font>
    <font>
      <b/>
      <sz val="9"/>
      <color indexed="81"/>
      <name val="Tahoma"/>
      <family val="2"/>
    </font>
  </fonts>
  <fills count="10">
    <fill>
      <patternFill patternType="none"/>
    </fill>
    <fill>
      <patternFill patternType="gray125"/>
    </fill>
    <fill>
      <patternFill patternType="solid">
        <fgColor theme="0"/>
        <bgColor rgb="FF000000"/>
      </patternFill>
    </fill>
    <fill>
      <patternFill patternType="solid">
        <fgColor rgb="FF002060"/>
        <bgColor indexed="64"/>
      </patternFill>
    </fill>
    <fill>
      <patternFill patternType="solid">
        <fgColor rgb="FFEB6105"/>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2"/>
        <bgColor indexed="64"/>
      </patternFill>
    </fill>
    <fill>
      <patternFill patternType="solid">
        <fgColor rgb="FFF6F6F6"/>
        <bgColor rgb="FF000000"/>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right/>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style="thin">
        <color theme="8" tint="-0.249977111117893"/>
      </left>
      <right style="thin">
        <color theme="8" tint="-0.249977111117893"/>
      </right>
      <top/>
      <bottom/>
      <diagonal/>
    </border>
    <border>
      <left/>
      <right/>
      <top/>
      <bottom style="hair">
        <color rgb="FF000000"/>
      </bottom>
      <diagonal/>
    </border>
    <border>
      <left style="hair">
        <color rgb="FF000000"/>
      </left>
      <right/>
      <top style="hair">
        <color rgb="FF000000"/>
      </top>
      <bottom/>
      <diagonal/>
    </border>
    <border>
      <left/>
      <right/>
      <top style="hair">
        <color rgb="FF000000"/>
      </top>
      <bottom/>
      <diagonal/>
    </border>
    <border>
      <left style="hair">
        <color rgb="FF000000"/>
      </left>
      <right/>
      <top/>
      <bottom/>
      <diagonal/>
    </border>
    <border>
      <left style="hair">
        <color rgb="FF000000"/>
      </left>
      <right/>
      <top/>
      <bottom style="hair">
        <color rgb="FF000000"/>
      </bottom>
      <diagonal/>
    </border>
    <border>
      <left/>
      <right/>
      <top/>
      <bottom style="dotted">
        <color indexed="64"/>
      </bottom>
      <diagonal/>
    </border>
    <border>
      <left/>
      <right style="dotted">
        <color indexed="64"/>
      </right>
      <top/>
      <bottom/>
      <diagonal/>
    </border>
    <border>
      <left/>
      <right style="dotted">
        <color indexed="64"/>
      </right>
      <top style="dotted">
        <color indexed="64"/>
      </top>
      <bottom/>
      <diagonal/>
    </border>
    <border>
      <left/>
      <right style="dotted">
        <color indexed="64"/>
      </right>
      <top/>
      <bottom style="dotted">
        <color indexed="64"/>
      </bottom>
      <diagonal/>
    </border>
    <border>
      <left/>
      <right/>
      <top style="thin">
        <color indexed="64"/>
      </top>
      <bottom style="medium">
        <color indexed="64"/>
      </bottom>
      <diagonal/>
    </border>
    <border>
      <left/>
      <right/>
      <top style="dotted">
        <color indexed="64"/>
      </top>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diagonal/>
    </border>
  </borders>
  <cellStyleXfs count="5">
    <xf numFmtId="0" fontId="0" fillId="0" borderId="0"/>
    <xf numFmtId="0" fontId="27" fillId="0" borderId="0" applyNumberFormat="0" applyFill="0" applyBorder="0" applyAlignment="0" applyProtection="0"/>
    <xf numFmtId="0" fontId="24" fillId="0" borderId="0"/>
    <xf numFmtId="0" fontId="28" fillId="0" borderId="0" applyNumberFormat="0" applyFill="0" applyBorder="0" applyAlignment="0" applyProtection="0"/>
    <xf numFmtId="0" fontId="24" fillId="0" borderId="0"/>
  </cellStyleXfs>
  <cellXfs count="191">
    <xf numFmtId="0" fontId="0" fillId="0" borderId="0" xfId="0"/>
    <xf numFmtId="0" fontId="1" fillId="0" borderId="0" xfId="0" applyFont="1"/>
    <xf numFmtId="0" fontId="2" fillId="0" borderId="0" xfId="0" applyFont="1"/>
    <xf numFmtId="37" fontId="3" fillId="2" borderId="0" xfId="0" applyNumberFormat="1" applyFont="1" applyFill="1" applyAlignment="1">
      <alignment vertical="center"/>
    </xf>
    <xf numFmtId="37" fontId="4" fillId="2" borderId="0" xfId="0" applyNumberFormat="1" applyFont="1" applyFill="1" applyAlignment="1">
      <alignment vertical="center"/>
    </xf>
    <xf numFmtId="37" fontId="3" fillId="0" borderId="0" xfId="0" applyNumberFormat="1" applyFont="1" applyAlignment="1">
      <alignment vertical="center"/>
    </xf>
    <xf numFmtId="164" fontId="5" fillId="0" borderId="0" xfId="0" applyNumberFormat="1" applyFont="1" applyAlignment="1">
      <alignment horizontal="right"/>
    </xf>
    <xf numFmtId="164" fontId="6" fillId="0" borderId="0" xfId="0" applyNumberFormat="1" applyFont="1" applyAlignment="1">
      <alignment horizontal="right"/>
    </xf>
    <xf numFmtId="0" fontId="8" fillId="0" borderId="0" xfId="0" applyFont="1" applyFill="1"/>
    <xf numFmtId="0" fontId="9" fillId="0" borderId="0" xfId="0" applyFont="1" applyFill="1" applyAlignment="1">
      <alignment vertical="center"/>
    </xf>
    <xf numFmtId="0" fontId="11" fillId="0" borderId="0" xfId="0" applyFont="1" applyFill="1" applyAlignment="1">
      <alignment horizontal="center" vertical="center"/>
    </xf>
    <xf numFmtId="0" fontId="12" fillId="0" borderId="0" xfId="0" applyFont="1" applyFill="1" applyAlignment="1">
      <alignment vertical="center"/>
    </xf>
    <xf numFmtId="165" fontId="8" fillId="0" borderId="0" xfId="0" applyNumberFormat="1" applyFont="1" applyFill="1"/>
    <xf numFmtId="0" fontId="13" fillId="0" borderId="0" xfId="0" applyFont="1" applyFill="1" applyAlignment="1">
      <alignment horizontal="right" vertical="center"/>
    </xf>
    <xf numFmtId="164" fontId="14" fillId="0" borderId="0" xfId="0" applyNumberFormat="1" applyFont="1" applyFill="1" applyAlignment="1">
      <alignment horizontal="right" vertical="center"/>
    </xf>
    <xf numFmtId="37" fontId="10" fillId="2" borderId="0" xfId="0" applyNumberFormat="1" applyFont="1" applyFill="1" applyAlignment="1">
      <alignment vertical="center"/>
    </xf>
    <xf numFmtId="165" fontId="8" fillId="0" borderId="0" xfId="0" applyNumberFormat="1" applyFont="1" applyFill="1" applyAlignment="1">
      <alignment horizontal="right"/>
    </xf>
    <xf numFmtId="0" fontId="15" fillId="0" borderId="0" xfId="0" applyFont="1"/>
    <xf numFmtId="0" fontId="16" fillId="3" borderId="0" xfId="0" applyFont="1" applyFill="1"/>
    <xf numFmtId="0" fontId="14" fillId="3" borderId="0" xfId="0" applyFont="1" applyFill="1"/>
    <xf numFmtId="0" fontId="17" fillId="0" borderId="0" xfId="0" applyFont="1"/>
    <xf numFmtId="165" fontId="8" fillId="0" borderId="1" xfId="0" applyNumberFormat="1" applyFont="1" applyFill="1" applyBorder="1"/>
    <xf numFmtId="165" fontId="8" fillId="0" borderId="2" xfId="0" applyNumberFormat="1" applyFont="1" applyFill="1" applyBorder="1"/>
    <xf numFmtId="0" fontId="2" fillId="0" borderId="0" xfId="0" applyFont="1" applyBorder="1"/>
    <xf numFmtId="0" fontId="7" fillId="0" borderId="0" xfId="0" applyFont="1" applyBorder="1" applyAlignment="1">
      <alignment horizontal="left"/>
    </xf>
    <xf numFmtId="0" fontId="13" fillId="0" borderId="0" xfId="0" applyFont="1" applyBorder="1" applyAlignment="1">
      <alignment horizontal="right" vertical="center"/>
    </xf>
    <xf numFmtId="0" fontId="9" fillId="0" borderId="0" xfId="0" applyFont="1" applyBorder="1" applyAlignment="1">
      <alignment vertical="center"/>
    </xf>
    <xf numFmtId="0" fontId="8" fillId="0" borderId="0" xfId="0" applyFont="1"/>
    <xf numFmtId="3" fontId="18" fillId="0" borderId="0" xfId="0" applyNumberFormat="1" applyFont="1"/>
    <xf numFmtId="9" fontId="18" fillId="0" borderId="0" xfId="0" applyNumberFormat="1" applyFont="1"/>
    <xf numFmtId="0" fontId="15" fillId="0" borderId="3" xfId="0" applyFont="1" applyBorder="1"/>
    <xf numFmtId="3" fontId="8" fillId="0" borderId="1" xfId="0" applyNumberFormat="1" applyFont="1" applyFill="1" applyBorder="1"/>
    <xf numFmtId="3" fontId="8" fillId="0" borderId="2" xfId="0" applyNumberFormat="1" applyFont="1" applyFill="1" applyBorder="1"/>
    <xf numFmtId="3" fontId="8" fillId="0" borderId="0" xfId="0" applyNumberFormat="1" applyFont="1" applyFill="1"/>
    <xf numFmtId="3" fontId="8" fillId="0" borderId="0" xfId="0" applyNumberFormat="1" applyFont="1" applyFill="1" applyAlignment="1">
      <alignment horizontal="right"/>
    </xf>
    <xf numFmtId="0" fontId="19" fillId="4" borderId="0" xfId="0" applyFont="1" applyFill="1"/>
    <xf numFmtId="3" fontId="8" fillId="0" borderId="0" xfId="0" applyNumberFormat="1" applyFont="1"/>
    <xf numFmtId="0" fontId="19" fillId="5" borderId="0" xfId="0" applyFont="1" applyFill="1"/>
    <xf numFmtId="0" fontId="2" fillId="4" borderId="0" xfId="0" applyFont="1" applyFill="1"/>
    <xf numFmtId="0" fontId="14" fillId="5" borderId="0" xfId="0" applyFont="1" applyFill="1"/>
    <xf numFmtId="0" fontId="16" fillId="5" borderId="0" xfId="0" applyFont="1" applyFill="1"/>
    <xf numFmtId="3" fontId="8" fillId="5" borderId="0" xfId="0" applyNumberFormat="1" applyFont="1" applyFill="1"/>
    <xf numFmtId="1" fontId="8" fillId="5" borderId="0" xfId="0" applyNumberFormat="1" applyFont="1" applyFill="1"/>
    <xf numFmtId="0" fontId="21" fillId="0" borderId="0" xfId="0" applyFont="1"/>
    <xf numFmtId="0" fontId="20" fillId="4" borderId="0" xfId="0" applyFont="1" applyFill="1"/>
    <xf numFmtId="0" fontId="21" fillId="5" borderId="0" xfId="0" applyFont="1" applyFill="1"/>
    <xf numFmtId="166" fontId="21" fillId="5" borderId="0" xfId="0" applyNumberFormat="1" applyFont="1" applyFill="1"/>
    <xf numFmtId="0" fontId="8" fillId="5" borderId="0" xfId="0" applyFont="1" applyFill="1"/>
    <xf numFmtId="3" fontId="21" fillId="0" borderId="0" xfId="0" applyNumberFormat="1" applyFont="1"/>
    <xf numFmtId="14" fontId="21" fillId="0" borderId="0" xfId="0" applyNumberFormat="1" applyFont="1"/>
    <xf numFmtId="14" fontId="20" fillId="3" borderId="0" xfId="0" applyNumberFormat="1" applyFont="1" applyFill="1"/>
    <xf numFmtId="14" fontId="20" fillId="4" borderId="0" xfId="0" applyNumberFormat="1" applyFont="1" applyFill="1"/>
    <xf numFmtId="165" fontId="21" fillId="5" borderId="0" xfId="0" applyNumberFormat="1" applyFont="1" applyFill="1"/>
    <xf numFmtId="1" fontId="21" fillId="5" borderId="0" xfId="0" applyNumberFormat="1" applyFont="1" applyFill="1"/>
    <xf numFmtId="3" fontId="21" fillId="5" borderId="0" xfId="0" applyNumberFormat="1" applyFont="1" applyFill="1"/>
    <xf numFmtId="0" fontId="23" fillId="0" borderId="0" xfId="0" applyFont="1"/>
    <xf numFmtId="165" fontId="21" fillId="0" borderId="0" xfId="0" applyNumberFormat="1" applyFont="1" applyFill="1"/>
    <xf numFmtId="165" fontId="15" fillId="0" borderId="0" xfId="0" applyNumberFormat="1" applyFont="1"/>
    <xf numFmtId="0" fontId="26" fillId="0" borderId="0" xfId="0" applyFont="1"/>
    <xf numFmtId="167" fontId="26" fillId="0" borderId="0" xfId="0" applyNumberFormat="1" applyFont="1"/>
    <xf numFmtId="0" fontId="25" fillId="5" borderId="0" xfId="0" applyFont="1" applyFill="1"/>
    <xf numFmtId="0" fontId="0" fillId="4" borderId="0" xfId="0" applyFill="1"/>
    <xf numFmtId="0" fontId="0" fillId="5" borderId="0" xfId="0" applyFill="1"/>
    <xf numFmtId="3" fontId="0" fillId="0" borderId="0" xfId="0" applyNumberFormat="1"/>
    <xf numFmtId="0" fontId="0" fillId="0" borderId="0" xfId="0" applyBorder="1"/>
    <xf numFmtId="0" fontId="19" fillId="3" borderId="0" xfId="0" applyFont="1" applyFill="1"/>
    <xf numFmtId="0" fontId="0" fillId="5" borderId="0" xfId="0" applyFill="1" applyBorder="1"/>
    <xf numFmtId="0" fontId="19" fillId="5" borderId="0" xfId="0" applyFont="1" applyFill="1" applyBorder="1"/>
    <xf numFmtId="3" fontId="16" fillId="5" borderId="0" xfId="0" applyNumberFormat="1" applyFont="1" applyFill="1" applyBorder="1"/>
    <xf numFmtId="9" fontId="0" fillId="5" borderId="0" xfId="0" applyNumberFormat="1" applyFill="1" applyBorder="1"/>
    <xf numFmtId="0" fontId="15" fillId="0" borderId="6" xfId="0" applyFont="1" applyBorder="1" applyAlignment="1">
      <alignment horizontal="right"/>
    </xf>
    <xf numFmtId="0" fontId="0" fillId="0" borderId="6" xfId="0" applyBorder="1"/>
    <xf numFmtId="3" fontId="8" fillId="5" borderId="7" xfId="0" applyNumberFormat="1" applyFont="1" applyFill="1" applyBorder="1"/>
    <xf numFmtId="9" fontId="8" fillId="0" borderId="0" xfId="0" applyNumberFormat="1" applyFont="1" applyFill="1" applyAlignment="1">
      <alignment horizontal="right"/>
    </xf>
    <xf numFmtId="0" fontId="29" fillId="0" borderId="0" xfId="0" applyFont="1"/>
    <xf numFmtId="3" fontId="16" fillId="0" borderId="0" xfId="0" applyNumberFormat="1" applyFont="1" applyBorder="1"/>
    <xf numFmtId="0" fontId="9" fillId="0" borderId="0" xfId="0" applyFont="1"/>
    <xf numFmtId="0" fontId="9" fillId="5" borderId="0" xfId="0" applyFont="1" applyFill="1" applyBorder="1"/>
    <xf numFmtId="14" fontId="9" fillId="0" borderId="3" xfId="0" applyNumberFormat="1" applyFont="1" applyBorder="1"/>
    <xf numFmtId="0" fontId="22" fillId="5" borderId="0" xfId="0" applyFont="1" applyFill="1"/>
    <xf numFmtId="3" fontId="26" fillId="0" borderId="0" xfId="0" applyNumberFormat="1" applyFont="1"/>
    <xf numFmtId="0" fontId="15" fillId="0" borderId="0" xfId="0" applyFont="1" applyBorder="1" applyAlignment="1">
      <alignment horizontal="center"/>
    </xf>
    <xf numFmtId="0" fontId="21" fillId="5" borderId="0" xfId="0" applyFont="1" applyFill="1" applyBorder="1" applyAlignment="1">
      <alignment horizontal="center"/>
    </xf>
    <xf numFmtId="0" fontId="17" fillId="0" borderId="0" xfId="0" applyFont="1" applyBorder="1"/>
    <xf numFmtId="0" fontId="8" fillId="5" borderId="0" xfId="0" applyFont="1" applyFill="1" applyBorder="1"/>
    <xf numFmtId="3" fontId="8" fillId="5" borderId="0" xfId="0" applyNumberFormat="1" applyFont="1" applyFill="1" applyBorder="1"/>
    <xf numFmtId="0" fontId="21" fillId="5" borderId="0" xfId="0" applyFont="1" applyFill="1" applyBorder="1"/>
    <xf numFmtId="0" fontId="20" fillId="5" borderId="0" xfId="0" applyFont="1" applyFill="1" applyBorder="1"/>
    <xf numFmtId="0" fontId="15" fillId="0" borderId="0" xfId="0" applyFont="1" applyAlignment="1"/>
    <xf numFmtId="0" fontId="19" fillId="3" borderId="0" xfId="0" applyFont="1" applyFill="1" applyAlignment="1">
      <alignment horizontal="center"/>
    </xf>
    <xf numFmtId="0" fontId="0" fillId="3" borderId="0" xfId="0" applyFill="1"/>
    <xf numFmtId="0" fontId="0" fillId="7" borderId="0" xfId="0" applyFill="1"/>
    <xf numFmtId="0" fontId="31" fillId="7" borderId="0" xfId="0" applyFont="1" applyFill="1"/>
    <xf numFmtId="0" fontId="33" fillId="7" borderId="0" xfId="0" applyFont="1" applyFill="1"/>
    <xf numFmtId="168" fontId="32" fillId="7" borderId="0" xfId="0" applyNumberFormat="1" applyFont="1" applyFill="1" applyAlignment="1">
      <alignment horizontal="center" vertical="center"/>
    </xf>
    <xf numFmtId="169" fontId="8" fillId="0" borderId="0" xfId="0" applyNumberFormat="1" applyFont="1"/>
    <xf numFmtId="0" fontId="34" fillId="7" borderId="0" xfId="0" applyFont="1" applyFill="1"/>
    <xf numFmtId="0" fontId="35" fillId="7" borderId="0" xfId="1" applyFont="1" applyFill="1"/>
    <xf numFmtId="0" fontId="37" fillId="7" borderId="0" xfId="0" applyFont="1" applyFill="1"/>
    <xf numFmtId="0" fontId="38" fillId="7" borderId="0" xfId="0" applyFont="1" applyFill="1"/>
    <xf numFmtId="0" fontId="39" fillId="7" borderId="0" xfId="0" applyFont="1" applyFill="1"/>
    <xf numFmtId="168" fontId="40" fillId="7" borderId="0" xfId="0" applyNumberFormat="1" applyFont="1" applyFill="1" applyAlignment="1">
      <alignment horizontal="center" vertical="center"/>
    </xf>
    <xf numFmtId="167" fontId="8" fillId="5" borderId="0" xfId="0" applyNumberFormat="1" applyFont="1" applyFill="1"/>
    <xf numFmtId="167" fontId="21" fillId="5" borderId="0" xfId="0" applyNumberFormat="1" applyFont="1" applyFill="1"/>
    <xf numFmtId="167" fontId="18" fillId="5" borderId="0" xfId="0" applyNumberFormat="1" applyFont="1" applyFill="1"/>
    <xf numFmtId="0" fontId="41" fillId="0" borderId="0" xfId="0" applyFont="1" applyAlignment="1">
      <alignment horizontal="left" indent="1"/>
    </xf>
    <xf numFmtId="0" fontId="30" fillId="5" borderId="0" xfId="0" applyFont="1" applyFill="1"/>
    <xf numFmtId="3" fontId="21" fillId="8" borderId="0" xfId="0" applyNumberFormat="1" applyFont="1" applyFill="1"/>
    <xf numFmtId="165" fontId="21" fillId="8" borderId="0" xfId="0" applyNumberFormat="1" applyFont="1" applyFill="1"/>
    <xf numFmtId="0" fontId="42" fillId="3" borderId="0" xfId="0" applyFont="1" applyFill="1"/>
    <xf numFmtId="3" fontId="8" fillId="0" borderId="0" xfId="0" applyNumberFormat="1" applyFont="1" applyAlignment="1">
      <alignment horizontal="left" indent="1"/>
    </xf>
    <xf numFmtId="37" fontId="43" fillId="0" borderId="0" xfId="0" applyNumberFormat="1" applyFont="1" applyAlignment="1">
      <alignment vertical="center"/>
    </xf>
    <xf numFmtId="170" fontId="44" fillId="0" borderId="0" xfId="0" applyNumberFormat="1" applyFont="1" applyAlignment="1">
      <alignment vertical="center"/>
    </xf>
    <xf numFmtId="0" fontId="46" fillId="0" borderId="0" xfId="0" applyFont="1"/>
    <xf numFmtId="0" fontId="45" fillId="0" borderId="0" xfId="0" applyFont="1" applyAlignment="1">
      <alignment horizontal="left"/>
    </xf>
    <xf numFmtId="0" fontId="46" fillId="0" borderId="8" xfId="0" applyFont="1" applyBorder="1"/>
    <xf numFmtId="0" fontId="2" fillId="0" borderId="0" xfId="0" applyFont="1" applyAlignment="1">
      <alignment wrapText="1"/>
    </xf>
    <xf numFmtId="0" fontId="42" fillId="3" borderId="0" xfId="0" applyFont="1" applyFill="1" applyAlignment="1">
      <alignment horizontal="left" vertical="center"/>
    </xf>
    <xf numFmtId="0" fontId="47" fillId="0" borderId="0" xfId="0" applyFont="1"/>
    <xf numFmtId="0" fontId="48" fillId="0" borderId="0" xfId="0" applyFont="1"/>
    <xf numFmtId="0" fontId="41" fillId="0" borderId="9" xfId="0" applyFont="1" applyBorder="1" applyAlignment="1">
      <alignment horizontal="left"/>
    </xf>
    <xf numFmtId="0" fontId="46" fillId="0" borderId="10" xfId="0" applyFont="1" applyBorder="1"/>
    <xf numFmtId="0" fontId="41" fillId="0" borderId="11" xfId="0" applyFont="1" applyBorder="1" applyAlignment="1">
      <alignment horizontal="left"/>
    </xf>
    <xf numFmtId="0" fontId="45" fillId="0" borderId="12" xfId="0" applyFont="1" applyBorder="1" applyAlignment="1">
      <alignment horizontal="left"/>
    </xf>
    <xf numFmtId="0" fontId="45" fillId="0" borderId="0" xfId="0" applyFont="1" applyAlignment="1">
      <alignment horizontal="left" indent="1"/>
    </xf>
    <xf numFmtId="171" fontId="49" fillId="0" borderId="0" xfId="0" applyNumberFormat="1" applyFont="1"/>
    <xf numFmtId="172" fontId="8" fillId="5" borderId="0" xfId="0" applyNumberFormat="1" applyFont="1" applyFill="1"/>
    <xf numFmtId="0" fontId="46" fillId="0" borderId="13" xfId="0" applyFont="1" applyBorder="1"/>
    <xf numFmtId="0" fontId="45" fillId="0" borderId="13" xfId="0" applyFont="1" applyBorder="1" applyAlignment="1">
      <alignment horizontal="left"/>
    </xf>
    <xf numFmtId="3" fontId="21" fillId="0" borderId="13" xfId="0" applyNumberFormat="1" applyFont="1" applyBorder="1"/>
    <xf numFmtId="0" fontId="46" fillId="0" borderId="14" xfId="0" applyFont="1" applyBorder="1"/>
    <xf numFmtId="165" fontId="18" fillId="0" borderId="15" xfId="0" applyNumberFormat="1" applyFont="1" applyBorder="1"/>
    <xf numFmtId="172" fontId="18" fillId="5" borderId="14" xfId="0" applyNumberFormat="1" applyFont="1" applyFill="1" applyBorder="1"/>
    <xf numFmtId="165" fontId="18" fillId="0" borderId="14" xfId="0" applyNumberFormat="1" applyFont="1" applyBorder="1"/>
    <xf numFmtId="165" fontId="22" fillId="0" borderId="16" xfId="0" applyNumberFormat="1" applyFont="1" applyBorder="1"/>
    <xf numFmtId="165" fontId="50" fillId="0" borderId="14" xfId="0" applyNumberFormat="1" applyFont="1" applyBorder="1"/>
    <xf numFmtId="165" fontId="8" fillId="0" borderId="5" xfId="0" applyNumberFormat="1" applyFont="1" applyFill="1" applyBorder="1"/>
    <xf numFmtId="0" fontId="0" fillId="0" borderId="0" xfId="0" applyAlignment="1">
      <alignment wrapText="1"/>
    </xf>
    <xf numFmtId="3" fontId="8" fillId="0" borderId="13" xfId="0" applyNumberFormat="1" applyFont="1" applyBorder="1"/>
    <xf numFmtId="3" fontId="8" fillId="0" borderId="13" xfId="0" applyNumberFormat="1" applyFont="1" applyBorder="1" applyAlignment="1">
      <alignment horizontal="left" indent="1"/>
    </xf>
    <xf numFmtId="167" fontId="8" fillId="5" borderId="17" xfId="0" applyNumberFormat="1" applyFont="1" applyFill="1" applyBorder="1"/>
    <xf numFmtId="172" fontId="8" fillId="5" borderId="17" xfId="0" applyNumberFormat="1" applyFont="1" applyFill="1" applyBorder="1"/>
    <xf numFmtId="3" fontId="8" fillId="0" borderId="0" xfId="0" applyNumberFormat="1" applyFont="1" applyAlignment="1">
      <alignment horizontal="left" indent="2"/>
    </xf>
    <xf numFmtId="167" fontId="8" fillId="5" borderId="18" xfId="0" applyNumberFormat="1" applyFont="1" applyFill="1" applyBorder="1"/>
    <xf numFmtId="172" fontId="8" fillId="5" borderId="13" xfId="0" applyNumberFormat="1" applyFont="1" applyFill="1" applyBorder="1"/>
    <xf numFmtId="167" fontId="8" fillId="0" borderId="0" xfId="0" applyNumberFormat="1" applyFont="1"/>
    <xf numFmtId="9" fontId="8" fillId="0" borderId="13" xfId="0" applyNumberFormat="1" applyFont="1" applyBorder="1"/>
    <xf numFmtId="167" fontId="8" fillId="0" borderId="18" xfId="0" applyNumberFormat="1" applyFont="1" applyBorder="1"/>
    <xf numFmtId="0" fontId="45" fillId="0" borderId="0" xfId="0" applyFont="1"/>
    <xf numFmtId="3" fontId="8" fillId="5" borderId="0" xfId="0" applyNumberFormat="1" applyFont="1" applyFill="1" applyAlignment="1">
      <alignment horizontal="left" indent="1"/>
    </xf>
    <xf numFmtId="167" fontId="8" fillId="5" borderId="0" xfId="0" applyNumberFormat="1" applyFont="1" applyFill="1" applyBorder="1"/>
    <xf numFmtId="0" fontId="8" fillId="0" borderId="0" xfId="0" applyFont="1" applyBorder="1"/>
    <xf numFmtId="167" fontId="8" fillId="0" borderId="0" xfId="0" applyNumberFormat="1" applyFont="1" applyBorder="1"/>
    <xf numFmtId="0" fontId="8" fillId="5" borderId="18" xfId="0" applyFont="1" applyFill="1" applyBorder="1"/>
    <xf numFmtId="0" fontId="0" fillId="0" borderId="18" xfId="0" applyBorder="1"/>
    <xf numFmtId="0" fontId="51" fillId="0" borderId="18" xfId="0" applyFont="1" applyBorder="1"/>
    <xf numFmtId="0" fontId="20" fillId="5" borderId="0" xfId="0" applyFont="1" applyFill="1"/>
    <xf numFmtId="173" fontId="8" fillId="5" borderId="0" xfId="0" applyNumberFormat="1" applyFont="1" applyFill="1"/>
    <xf numFmtId="0" fontId="20" fillId="4" borderId="0" xfId="0" applyFont="1" applyFill="1" applyAlignment="1"/>
    <xf numFmtId="0" fontId="26" fillId="5" borderId="0" xfId="0" applyFont="1" applyFill="1" applyAlignment="1">
      <alignment horizontal="center" vertical="center" wrapText="1"/>
    </xf>
    <xf numFmtId="0" fontId="0" fillId="5" borderId="18" xfId="0" applyFill="1" applyBorder="1"/>
    <xf numFmtId="174" fontId="8" fillId="5" borderId="18" xfId="0" applyNumberFormat="1" applyFont="1" applyFill="1" applyBorder="1"/>
    <xf numFmtId="0" fontId="52" fillId="3" borderId="0" xfId="0" applyFont="1" applyFill="1"/>
    <xf numFmtId="0" fontId="52" fillId="5" borderId="0" xfId="0" applyFont="1" applyFill="1"/>
    <xf numFmtId="165" fontId="18" fillId="5" borderId="0" xfId="0" applyNumberFormat="1" applyFont="1" applyFill="1"/>
    <xf numFmtId="0" fontId="19" fillId="4" borderId="0" xfId="0" applyFont="1" applyFill="1" applyAlignment="1">
      <alignment vertical="center"/>
    </xf>
    <xf numFmtId="0" fontId="53" fillId="0" borderId="0" xfId="0" applyFont="1"/>
    <xf numFmtId="167" fontId="20" fillId="4" borderId="0" xfId="0" applyNumberFormat="1" applyFont="1" applyFill="1" applyAlignment="1">
      <alignment horizontal="right"/>
    </xf>
    <xf numFmtId="0" fontId="33" fillId="7" borderId="19" xfId="0" applyFont="1" applyFill="1" applyBorder="1"/>
    <xf numFmtId="0" fontId="0" fillId="7" borderId="19" xfId="0" applyFill="1" applyBorder="1"/>
    <xf numFmtId="0" fontId="34" fillId="7" borderId="20" xfId="0" applyFont="1" applyFill="1" applyBorder="1"/>
    <xf numFmtId="0" fontId="0" fillId="7" borderId="20" xfId="0" applyFill="1" applyBorder="1"/>
    <xf numFmtId="0" fontId="46" fillId="0" borderId="0" xfId="4" applyFont="1"/>
    <xf numFmtId="0" fontId="45" fillId="9" borderId="21" xfId="4" applyFont="1" applyFill="1" applyBorder="1" applyAlignment="1">
      <alignment horizontal="center"/>
    </xf>
    <xf numFmtId="0" fontId="45" fillId="9" borderId="22" xfId="4" applyFont="1" applyFill="1" applyBorder="1" applyAlignment="1">
      <alignment horizontal="center"/>
    </xf>
    <xf numFmtId="0" fontId="45" fillId="9" borderId="23" xfId="4" applyFont="1" applyFill="1" applyBorder="1" applyAlignment="1">
      <alignment horizontal="center"/>
    </xf>
    <xf numFmtId="0" fontId="46" fillId="9" borderId="24" xfId="4" applyFont="1" applyFill="1" applyBorder="1" applyAlignment="1">
      <alignment horizontal="center"/>
    </xf>
    <xf numFmtId="0" fontId="46" fillId="9" borderId="22" xfId="4" applyFont="1" applyFill="1" applyBorder="1" applyAlignment="1">
      <alignment horizontal="center"/>
    </xf>
    <xf numFmtId="0" fontId="46" fillId="0" borderId="0" xfId="4" applyFont="1" applyAlignment="1">
      <alignment horizontal="center"/>
    </xf>
    <xf numFmtId="4" fontId="0" fillId="7" borderId="0" xfId="0" applyNumberFormat="1" applyFill="1"/>
    <xf numFmtId="3" fontId="8" fillId="0" borderId="0" xfId="0" applyNumberFormat="1" applyFont="1" applyAlignment="1">
      <alignment horizontal="right" indent="1"/>
    </xf>
    <xf numFmtId="0" fontId="36" fillId="7" borderId="0" xfId="0" applyFont="1" applyFill="1" applyAlignment="1">
      <alignment horizontal="left"/>
    </xf>
    <xf numFmtId="0" fontId="29" fillId="3" borderId="0" xfId="0" applyFont="1" applyFill="1" applyAlignment="1">
      <alignment horizontal="center"/>
    </xf>
    <xf numFmtId="3" fontId="53" fillId="0" borderId="0" xfId="0" applyNumberFormat="1" applyFont="1"/>
    <xf numFmtId="0" fontId="0" fillId="0" borderId="0" xfId="0"/>
    <xf numFmtId="0" fontId="26" fillId="6" borderId="0" xfId="0" applyFont="1" applyFill="1" applyAlignment="1">
      <alignment horizontal="left" vertical="center" wrapText="1"/>
    </xf>
    <xf numFmtId="0" fontId="21" fillId="5" borderId="0" xfId="0" applyFont="1" applyFill="1" applyBorder="1" applyAlignment="1">
      <alignment horizontal="center"/>
    </xf>
    <xf numFmtId="0" fontId="15" fillId="5" borderId="0" xfId="0" applyFont="1" applyFill="1" applyBorder="1" applyAlignment="1">
      <alignment horizontal="center"/>
    </xf>
    <xf numFmtId="0" fontId="15" fillId="0" borderId="4" xfId="0" applyFont="1" applyBorder="1" applyAlignment="1">
      <alignment horizontal="center"/>
    </xf>
    <xf numFmtId="0" fontId="15" fillId="0" borderId="0" xfId="0" applyFont="1" applyAlignment="1">
      <alignment horizontal="center"/>
    </xf>
    <xf numFmtId="0" fontId="21" fillId="0" borderId="0" xfId="0" applyFont="1" applyAlignment="1">
      <alignment horizontal="center"/>
    </xf>
  </cellXfs>
  <cellStyles count="5">
    <cellStyle name="Hyperlink 2 2" xfId="3"/>
    <cellStyle name="Normal 2 2" xfId="2"/>
    <cellStyle name="Normal 2 2 2" xfId="4"/>
    <cellStyle name="Гиперссылка" xfId="1" builtinId="8"/>
    <cellStyle name="Обычный" xfId="0" builtinId="0"/>
  </cellStyles>
  <dxfs count="3">
    <dxf>
      <fill>
        <patternFill>
          <bgColor rgb="FFFF0000"/>
        </patternFill>
      </fill>
    </dxf>
    <dxf>
      <font>
        <b/>
        <i val="0"/>
        <color theme="0"/>
      </font>
      <fill>
        <patternFill>
          <bgColor rgb="FFC00000"/>
        </patternFill>
      </fill>
    </dxf>
    <dxf>
      <font>
        <b/>
        <i val="0"/>
        <color theme="0"/>
      </font>
      <fill>
        <patternFill>
          <bgColor rgb="FFC00000"/>
        </patternFill>
      </fill>
    </dxf>
  </dxfs>
  <tableStyles count="0" defaultTableStyle="TableStyleMedium2" defaultPivotStyle="PivotStyleLight16"/>
  <colors>
    <mruColors>
      <color rgb="FF002060"/>
      <color rgb="FF0D1B3E"/>
      <color rgb="FFEB6105"/>
      <color rgb="FFD35400"/>
      <color rgb="FFFF5300"/>
      <color rgb="FFF25D22"/>
      <color rgb="FFFF0000"/>
      <color rgb="FFBC8F00"/>
      <color rgb="FF67B58A"/>
      <color rgb="FF347E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28140474131049"/>
          <c:y val="6.8123051075646854E-2"/>
          <c:w val="0.85862729658792647"/>
          <c:h val="0.73577136191309422"/>
        </c:manualLayout>
      </c:layout>
      <c:lineChart>
        <c:grouping val="standard"/>
        <c:varyColors val="0"/>
        <c:ser>
          <c:idx val="0"/>
          <c:order val="0"/>
          <c:tx>
            <c:strRef>
              <c:f>Outputs!$B$12</c:f>
              <c:strCache>
                <c:ptCount val="1"/>
                <c:pt idx="0">
                  <c:v>Revenue</c:v>
                </c:pt>
              </c:strCache>
            </c:strRef>
          </c:tx>
          <c:spPr>
            <a:ln w="28575" cap="rnd">
              <a:solidFill>
                <a:srgbClr val="002060"/>
              </a:solidFill>
              <a:round/>
            </a:ln>
            <a:effectLst/>
          </c:spPr>
          <c:marker>
            <c:symbol val="circle"/>
            <c:size val="7"/>
            <c:spPr>
              <a:solidFill>
                <a:schemeClr val="bg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Outputs!$I$10:$N$10</c:f>
              <c:numCache>
                <c:formatCode>General</c:formatCode>
                <c:ptCount val="6"/>
                <c:pt idx="0">
                  <c:v>2019</c:v>
                </c:pt>
                <c:pt idx="1">
                  <c:v>2020</c:v>
                </c:pt>
                <c:pt idx="2">
                  <c:v>2021</c:v>
                </c:pt>
                <c:pt idx="3">
                  <c:v>2022</c:v>
                </c:pt>
                <c:pt idx="4">
                  <c:v>2023</c:v>
                </c:pt>
                <c:pt idx="5">
                  <c:v>2024</c:v>
                </c:pt>
              </c:numCache>
            </c:numRef>
          </c:cat>
          <c:val>
            <c:numRef>
              <c:f>Outputs!$I$12:$N$12</c:f>
              <c:numCache>
                <c:formatCode>#,##0</c:formatCode>
                <c:ptCount val="6"/>
                <c:pt idx="0">
                  <c:v>8000</c:v>
                </c:pt>
                <c:pt idx="1">
                  <c:v>9200</c:v>
                </c:pt>
                <c:pt idx="2">
                  <c:v>10500</c:v>
                </c:pt>
                <c:pt idx="3">
                  <c:v>11900</c:v>
                </c:pt>
                <c:pt idx="4">
                  <c:v>13060.4</c:v>
                </c:pt>
                <c:pt idx="5">
                  <c:v>12210.449999999999</c:v>
                </c:pt>
              </c:numCache>
            </c:numRef>
          </c:val>
          <c:smooth val="0"/>
          <c:extLst>
            <c:ext xmlns:c16="http://schemas.microsoft.com/office/drawing/2014/chart" uri="{C3380CC4-5D6E-409C-BE32-E72D297353CC}">
              <c16:uniqueId val="{00000000-E6A2-408F-BB8C-8267A1EADB68}"/>
            </c:ext>
          </c:extLst>
        </c:ser>
        <c:ser>
          <c:idx val="1"/>
          <c:order val="1"/>
          <c:tx>
            <c:strRef>
              <c:f>Outputs!$B$13</c:f>
              <c:strCache>
                <c:ptCount val="1"/>
                <c:pt idx="0">
                  <c:v>Expenses</c:v>
                </c:pt>
              </c:strCache>
            </c:strRef>
          </c:tx>
          <c:spPr>
            <a:ln w="28575" cap="rnd">
              <a:solidFill>
                <a:srgbClr val="C1152E"/>
              </a:solidFill>
              <a:round/>
            </a:ln>
            <a:effectLst/>
          </c:spPr>
          <c:marker>
            <c:symbol val="circle"/>
            <c:size val="8"/>
            <c:spPr>
              <a:solidFill>
                <a:schemeClr val="bg1"/>
              </a:solidFill>
              <a:ln w="9525">
                <a:solidFill>
                  <a:srgbClr val="C1152E"/>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Outputs!$I$10:$N$10</c:f>
              <c:numCache>
                <c:formatCode>General</c:formatCode>
                <c:ptCount val="6"/>
                <c:pt idx="0">
                  <c:v>2019</c:v>
                </c:pt>
                <c:pt idx="1">
                  <c:v>2020</c:v>
                </c:pt>
                <c:pt idx="2">
                  <c:v>2021</c:v>
                </c:pt>
                <c:pt idx="3">
                  <c:v>2022</c:v>
                </c:pt>
                <c:pt idx="4">
                  <c:v>2023</c:v>
                </c:pt>
                <c:pt idx="5">
                  <c:v>2024</c:v>
                </c:pt>
              </c:numCache>
            </c:numRef>
          </c:cat>
          <c:val>
            <c:numRef>
              <c:f>Outputs!$I$13:$N$13</c:f>
              <c:numCache>
                <c:formatCode>#,##0</c:formatCode>
                <c:ptCount val="6"/>
                <c:pt idx="0">
                  <c:v>7600</c:v>
                </c:pt>
                <c:pt idx="1">
                  <c:v>9500</c:v>
                </c:pt>
                <c:pt idx="2">
                  <c:v>11800</c:v>
                </c:pt>
                <c:pt idx="3">
                  <c:v>16000</c:v>
                </c:pt>
                <c:pt idx="4">
                  <c:v>22104.239999999998</c:v>
                </c:pt>
                <c:pt idx="5">
                  <c:v>24798.269999999997</c:v>
                </c:pt>
              </c:numCache>
            </c:numRef>
          </c:val>
          <c:smooth val="0"/>
          <c:extLst>
            <c:ext xmlns:c16="http://schemas.microsoft.com/office/drawing/2014/chart" uri="{C3380CC4-5D6E-409C-BE32-E72D297353CC}">
              <c16:uniqueId val="{00000001-E6A2-408F-BB8C-8267A1EADB68}"/>
            </c:ext>
          </c:extLst>
        </c:ser>
        <c:dLbls>
          <c:showLegendKey val="0"/>
          <c:showVal val="0"/>
          <c:showCatName val="0"/>
          <c:showSerName val="0"/>
          <c:showPercent val="0"/>
          <c:showBubbleSize val="0"/>
        </c:dLbls>
        <c:marker val="1"/>
        <c:smooth val="0"/>
        <c:axId val="899892224"/>
        <c:axId val="899892640"/>
      </c:lineChart>
      <c:catAx>
        <c:axId val="89989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899892640"/>
        <c:crosses val="autoZero"/>
        <c:auto val="1"/>
        <c:lblAlgn val="ctr"/>
        <c:lblOffset val="100"/>
        <c:noMultiLvlLbl val="0"/>
      </c:catAx>
      <c:valAx>
        <c:axId val="899892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899892224"/>
        <c:crosses val="autoZero"/>
        <c:crossBetween val="between"/>
      </c:valAx>
      <c:spPr>
        <a:noFill/>
        <a:ln>
          <a:noFill/>
        </a:ln>
        <a:effectLst/>
      </c:spPr>
    </c:plotArea>
    <c:legend>
      <c:legendPos val="b"/>
      <c:layout>
        <c:manualLayout>
          <c:xMode val="edge"/>
          <c:yMode val="edge"/>
          <c:x val="0.19676924759405071"/>
          <c:y val="7.002260134149893E-2"/>
          <c:w val="0.38304913730046042"/>
          <c:h val="7.7740434884663812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91447944007001"/>
          <c:y val="7.407407407407407E-2"/>
          <c:w val="0.86364107611548557"/>
          <c:h val="0.8416746864975212"/>
        </c:manualLayout>
      </c:layout>
      <c:barChart>
        <c:barDir val="col"/>
        <c:grouping val="clustered"/>
        <c:varyColors val="0"/>
        <c:ser>
          <c:idx val="0"/>
          <c:order val="0"/>
          <c:tx>
            <c:strRef>
              <c:f>Outputs!$B$14</c:f>
              <c:strCache>
                <c:ptCount val="1"/>
                <c:pt idx="0">
                  <c:v>Net Income </c:v>
                </c:pt>
              </c:strCache>
            </c:strRef>
          </c:tx>
          <c:spPr>
            <a:solidFill>
              <a:srgbClr val="002060"/>
            </a:solidFill>
            <a:ln>
              <a:noFill/>
            </a:ln>
            <a:effectLst/>
          </c:spPr>
          <c:invertIfNegative val="0"/>
          <c:dLbls>
            <c:dLbl>
              <c:idx val="0"/>
              <c:layout>
                <c:manualLayout>
                  <c:x val="-2.8149912692523316E-2"/>
                  <c:y val="-4.4060443990502369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F82-4455-805F-7179A38351F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Outputs!$I$10:$N$10</c:f>
              <c:numCache>
                <c:formatCode>General</c:formatCode>
                <c:ptCount val="6"/>
                <c:pt idx="0">
                  <c:v>2019</c:v>
                </c:pt>
                <c:pt idx="1">
                  <c:v>2020</c:v>
                </c:pt>
                <c:pt idx="2">
                  <c:v>2021</c:v>
                </c:pt>
                <c:pt idx="3">
                  <c:v>2022</c:v>
                </c:pt>
                <c:pt idx="4">
                  <c:v>2023</c:v>
                </c:pt>
                <c:pt idx="5">
                  <c:v>2024</c:v>
                </c:pt>
              </c:numCache>
            </c:numRef>
          </c:cat>
          <c:val>
            <c:numRef>
              <c:f>Outputs!$I$14:$N$14</c:f>
              <c:numCache>
                <c:formatCode>#,##0</c:formatCode>
                <c:ptCount val="6"/>
                <c:pt idx="0">
                  <c:v>400</c:v>
                </c:pt>
                <c:pt idx="1">
                  <c:v>-300</c:v>
                </c:pt>
                <c:pt idx="2">
                  <c:v>-1300</c:v>
                </c:pt>
                <c:pt idx="3">
                  <c:v>-4100</c:v>
                </c:pt>
                <c:pt idx="4">
                  <c:v>-10681.51524047199</c:v>
                </c:pt>
                <c:pt idx="5">
                  <c:v>-15880.689833682436</c:v>
                </c:pt>
              </c:numCache>
            </c:numRef>
          </c:val>
          <c:extLst>
            <c:ext xmlns:c16="http://schemas.microsoft.com/office/drawing/2014/chart" uri="{C3380CC4-5D6E-409C-BE32-E72D297353CC}">
              <c16:uniqueId val="{00000000-5F82-4455-805F-7179A38351F7}"/>
            </c:ext>
          </c:extLst>
        </c:ser>
        <c:dLbls>
          <c:showLegendKey val="0"/>
          <c:showVal val="0"/>
          <c:showCatName val="0"/>
          <c:showSerName val="0"/>
          <c:showPercent val="0"/>
          <c:showBubbleSize val="0"/>
        </c:dLbls>
        <c:gapWidth val="80"/>
        <c:axId val="981181536"/>
        <c:axId val="981180704"/>
      </c:barChart>
      <c:lineChart>
        <c:grouping val="standard"/>
        <c:varyColors val="0"/>
        <c:ser>
          <c:idx val="1"/>
          <c:order val="1"/>
          <c:tx>
            <c:strRef>
              <c:f>Outputs!$B$15</c:f>
              <c:strCache>
                <c:ptCount val="1"/>
                <c:pt idx="0">
                  <c:v>Government Grants</c:v>
                </c:pt>
              </c:strCache>
            </c:strRef>
          </c:tx>
          <c:spPr>
            <a:ln w="28575" cap="rnd">
              <a:solidFill>
                <a:schemeClr val="accent2"/>
              </a:solidFill>
              <a:round/>
            </a:ln>
            <a:effectLst/>
          </c:spPr>
          <c:marker>
            <c:symbol val="circle"/>
            <c:size val="7"/>
            <c:spPr>
              <a:solidFill>
                <a:schemeClr val="bg1"/>
              </a:solidFill>
              <a:ln w="9525">
                <a:solidFill>
                  <a:schemeClr val="accent4">
                    <a:lumMod val="50000"/>
                  </a:schemeClr>
                </a:solidFill>
              </a:ln>
              <a:effectLst/>
            </c:spPr>
          </c:marker>
          <c:val>
            <c:numRef>
              <c:f>Outputs!$I$15:$N$15</c:f>
              <c:numCache>
                <c:formatCode>#,##0</c:formatCode>
                <c:ptCount val="6"/>
                <c:pt idx="0">
                  <c:v>800</c:v>
                </c:pt>
                <c:pt idx="1">
                  <c:v>900</c:v>
                </c:pt>
                <c:pt idx="2">
                  <c:v>1000</c:v>
                </c:pt>
                <c:pt idx="3">
                  <c:v>1100</c:v>
                </c:pt>
                <c:pt idx="4">
                  <c:v>1800</c:v>
                </c:pt>
                <c:pt idx="5">
                  <c:v>1200</c:v>
                </c:pt>
              </c:numCache>
            </c:numRef>
          </c:val>
          <c:smooth val="0"/>
          <c:extLst>
            <c:ext xmlns:c16="http://schemas.microsoft.com/office/drawing/2014/chart" uri="{C3380CC4-5D6E-409C-BE32-E72D297353CC}">
              <c16:uniqueId val="{00000005-5F82-4455-805F-7179A38351F7}"/>
            </c:ext>
          </c:extLst>
        </c:ser>
        <c:dLbls>
          <c:showLegendKey val="0"/>
          <c:showVal val="0"/>
          <c:showCatName val="0"/>
          <c:showSerName val="0"/>
          <c:showPercent val="0"/>
          <c:showBubbleSize val="0"/>
        </c:dLbls>
        <c:marker val="1"/>
        <c:smooth val="0"/>
        <c:axId val="981181536"/>
        <c:axId val="981180704"/>
      </c:lineChart>
      <c:catAx>
        <c:axId val="98118153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981180704"/>
        <c:crosses val="autoZero"/>
        <c:auto val="1"/>
        <c:lblAlgn val="ctr"/>
        <c:lblOffset val="100"/>
        <c:noMultiLvlLbl val="0"/>
      </c:catAx>
      <c:valAx>
        <c:axId val="981180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98118153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118683662432895E-2"/>
          <c:y val="0.15105265348878108"/>
          <c:w val="0.92835154037404644"/>
          <c:h val="0.68146637181098091"/>
        </c:manualLayout>
      </c:layout>
      <c:barChart>
        <c:barDir val="col"/>
        <c:grouping val="clustered"/>
        <c:varyColors val="0"/>
        <c:ser>
          <c:idx val="0"/>
          <c:order val="0"/>
          <c:tx>
            <c:strRef>
              <c:f>Outputs!$B$87</c:f>
              <c:strCache>
                <c:ptCount val="1"/>
                <c:pt idx="0">
                  <c:v>Ending Cash</c:v>
                </c:pt>
              </c:strCache>
            </c:strRef>
          </c:tx>
          <c:spPr>
            <a:solidFill>
              <a:schemeClr val="bg2"/>
            </a:solidFill>
            <a:ln>
              <a:solidFill>
                <a:schemeClr val="bg2">
                  <a:lumMod val="90000"/>
                </a:schemeClr>
              </a:solidFill>
            </a:ln>
            <a:effectLst/>
          </c:spPr>
          <c:invertIfNegative val="0"/>
          <c:cat>
            <c:numRef>
              <c:f>Outputs!$D$85:$AA$85</c:f>
              <c:numCache>
                <c:formatCode>m/d/yyyy</c:formatCode>
                <c:ptCount val="2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numCache>
            </c:numRef>
          </c:cat>
          <c:val>
            <c:numRef>
              <c:f>Outputs!$D$87:$AA$87</c:f>
              <c:numCache>
                <c:formatCode>_(#,##0_);\(#,##0\);_("–"_);_(@_)</c:formatCode>
                <c:ptCount val="24"/>
                <c:pt idx="0">
                  <c:v>500</c:v>
                </c:pt>
                <c:pt idx="1">
                  <c:v>499.99999999999989</c:v>
                </c:pt>
                <c:pt idx="2">
                  <c:v>499.99999999999989</c:v>
                </c:pt>
                <c:pt idx="3">
                  <c:v>499.99999999999989</c:v>
                </c:pt>
                <c:pt idx="4">
                  <c:v>499.99999999999989</c:v>
                </c:pt>
                <c:pt idx="5">
                  <c:v>499.99999999999989</c:v>
                </c:pt>
                <c:pt idx="6">
                  <c:v>499.99999999999989</c:v>
                </c:pt>
                <c:pt idx="7">
                  <c:v>499.99999999999989</c:v>
                </c:pt>
                <c:pt idx="8">
                  <c:v>499.99999999999989</c:v>
                </c:pt>
                <c:pt idx="9">
                  <c:v>499.99999999999989</c:v>
                </c:pt>
                <c:pt idx="10">
                  <c:v>499.99999999999989</c:v>
                </c:pt>
                <c:pt idx="11">
                  <c:v>499.99999999999989</c:v>
                </c:pt>
                <c:pt idx="12">
                  <c:v>499.99999999999989</c:v>
                </c:pt>
                <c:pt idx="13">
                  <c:v>499.99999999999989</c:v>
                </c:pt>
                <c:pt idx="14">
                  <c:v>499.99999999999989</c:v>
                </c:pt>
                <c:pt idx="15">
                  <c:v>499.99999999999989</c:v>
                </c:pt>
                <c:pt idx="16">
                  <c:v>499.99999999999989</c:v>
                </c:pt>
                <c:pt idx="17">
                  <c:v>499.99999999999989</c:v>
                </c:pt>
                <c:pt idx="18">
                  <c:v>499.99999999999989</c:v>
                </c:pt>
                <c:pt idx="19">
                  <c:v>-384.30549540854429</c:v>
                </c:pt>
                <c:pt idx="20">
                  <c:v>-1800.3140578502048</c:v>
                </c:pt>
                <c:pt idx="21">
                  <c:v>-3244.2276202918647</c:v>
                </c:pt>
                <c:pt idx="22">
                  <c:v>-4713.0776553362648</c:v>
                </c:pt>
                <c:pt idx="23">
                  <c:v>-6206.2801903806649</c:v>
                </c:pt>
              </c:numCache>
            </c:numRef>
          </c:val>
          <c:extLst>
            <c:ext xmlns:c16="http://schemas.microsoft.com/office/drawing/2014/chart" uri="{C3380CC4-5D6E-409C-BE32-E72D297353CC}">
              <c16:uniqueId val="{00000000-C663-4DD8-B37E-C83921523AB7}"/>
            </c:ext>
          </c:extLst>
        </c:ser>
        <c:dLbls>
          <c:showLegendKey val="0"/>
          <c:showVal val="0"/>
          <c:showCatName val="0"/>
          <c:showSerName val="0"/>
          <c:showPercent val="0"/>
          <c:showBubbleSize val="0"/>
        </c:dLbls>
        <c:gapWidth val="80"/>
        <c:overlap val="-27"/>
        <c:axId val="1081247216"/>
        <c:axId val="1081249296"/>
      </c:barChart>
      <c:lineChart>
        <c:grouping val="standard"/>
        <c:varyColors val="0"/>
        <c:ser>
          <c:idx val="2"/>
          <c:order val="2"/>
          <c:tx>
            <c:strRef>
              <c:f>Outputs!$B$89</c:f>
              <c:strCache>
                <c:ptCount val="1"/>
                <c:pt idx="0">
                  <c:v>Minimum Cash </c:v>
                </c:pt>
              </c:strCache>
            </c:strRef>
          </c:tx>
          <c:spPr>
            <a:ln w="44450" cap="rnd">
              <a:solidFill>
                <a:srgbClr val="0070C0"/>
              </a:solidFill>
              <a:round/>
            </a:ln>
            <a:effectLst/>
          </c:spPr>
          <c:marker>
            <c:symbol val="none"/>
          </c:marker>
          <c:val>
            <c:numRef>
              <c:f>Outputs!$D$89:$AA$89</c:f>
              <c:numCache>
                <c:formatCode>_(#,##0_);\(#,##0\);_("–"_);_(@_)</c:formatCode>
                <c:ptCount val="24"/>
                <c:pt idx="0">
                  <c:v>500</c:v>
                </c:pt>
                <c:pt idx="1">
                  <c:v>500</c:v>
                </c:pt>
                <c:pt idx="2">
                  <c:v>500</c:v>
                </c:pt>
                <c:pt idx="3">
                  <c:v>500</c:v>
                </c:pt>
                <c:pt idx="4">
                  <c:v>500</c:v>
                </c:pt>
                <c:pt idx="5">
                  <c:v>500</c:v>
                </c:pt>
                <c:pt idx="6">
                  <c:v>500</c:v>
                </c:pt>
                <c:pt idx="7">
                  <c:v>500</c:v>
                </c:pt>
                <c:pt idx="8">
                  <c:v>500</c:v>
                </c:pt>
                <c:pt idx="9">
                  <c:v>500</c:v>
                </c:pt>
                <c:pt idx="10">
                  <c:v>500</c:v>
                </c:pt>
                <c:pt idx="11">
                  <c:v>500</c:v>
                </c:pt>
                <c:pt idx="12">
                  <c:v>500</c:v>
                </c:pt>
                <c:pt idx="13">
                  <c:v>500</c:v>
                </c:pt>
                <c:pt idx="14">
                  <c:v>500</c:v>
                </c:pt>
                <c:pt idx="15">
                  <c:v>500</c:v>
                </c:pt>
                <c:pt idx="16">
                  <c:v>500</c:v>
                </c:pt>
                <c:pt idx="17">
                  <c:v>500</c:v>
                </c:pt>
                <c:pt idx="18">
                  <c:v>500</c:v>
                </c:pt>
                <c:pt idx="19">
                  <c:v>500</c:v>
                </c:pt>
                <c:pt idx="20">
                  <c:v>500</c:v>
                </c:pt>
                <c:pt idx="21">
                  <c:v>500</c:v>
                </c:pt>
                <c:pt idx="22">
                  <c:v>500</c:v>
                </c:pt>
                <c:pt idx="23">
                  <c:v>500</c:v>
                </c:pt>
              </c:numCache>
            </c:numRef>
          </c:val>
          <c:smooth val="0"/>
          <c:extLst>
            <c:ext xmlns:c16="http://schemas.microsoft.com/office/drawing/2014/chart" uri="{C3380CC4-5D6E-409C-BE32-E72D297353CC}">
              <c16:uniqueId val="{00000000-9DBB-45BD-8282-BB8FEE35DBCF}"/>
            </c:ext>
          </c:extLst>
        </c:ser>
        <c:dLbls>
          <c:showLegendKey val="0"/>
          <c:showVal val="0"/>
          <c:showCatName val="0"/>
          <c:showSerName val="0"/>
          <c:showPercent val="0"/>
          <c:showBubbleSize val="0"/>
        </c:dLbls>
        <c:marker val="1"/>
        <c:smooth val="0"/>
        <c:axId val="1081247216"/>
        <c:axId val="1081249296"/>
      </c:lineChart>
      <c:lineChart>
        <c:grouping val="standard"/>
        <c:varyColors val="0"/>
        <c:ser>
          <c:idx val="1"/>
          <c:order val="1"/>
          <c:tx>
            <c:strRef>
              <c:f>Outputs!$B$88</c:f>
              <c:strCache>
                <c:ptCount val="1"/>
                <c:pt idx="0">
                  <c:v>Revolver Balance</c:v>
                </c:pt>
              </c:strCache>
            </c:strRef>
          </c:tx>
          <c:spPr>
            <a:ln w="34925" cap="rnd">
              <a:solidFill>
                <a:srgbClr val="FF3300"/>
              </a:solidFill>
              <a:prstDash val="dash"/>
              <a:round/>
            </a:ln>
            <a:effectLst/>
          </c:spPr>
          <c:marker>
            <c:symbol val="circle"/>
            <c:size val="7"/>
            <c:spPr>
              <a:solidFill>
                <a:schemeClr val="bg1"/>
              </a:solidFill>
              <a:ln w="9525">
                <a:solidFill>
                  <a:srgbClr val="FF33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Outputs!$D$85:$AA$85</c:f>
              <c:numCache>
                <c:formatCode>m/d/yyyy</c:formatCode>
                <c:ptCount val="2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numCache>
            </c:numRef>
          </c:cat>
          <c:val>
            <c:numRef>
              <c:f>Outputs!$D$88:$AA$88</c:f>
              <c:numCache>
                <c:formatCode>_(#,##0_);\(#,##0\);_("–"_);_(@_)</c:formatCode>
                <c:ptCount val="24"/>
                <c:pt idx="0">
                  <c:v>1748.7362679211119</c:v>
                </c:pt>
                <c:pt idx="1">
                  <c:v>2471.6504810477036</c:v>
                </c:pt>
                <c:pt idx="2">
                  <c:v>3215.8546941742952</c:v>
                </c:pt>
                <c:pt idx="3">
                  <c:v>3983.3489073008868</c:v>
                </c:pt>
                <c:pt idx="4">
                  <c:v>4774.1331204274784</c:v>
                </c:pt>
                <c:pt idx="5">
                  <c:v>5588.2073335540699</c:v>
                </c:pt>
                <c:pt idx="6">
                  <c:v>6425.5715466806614</c:v>
                </c:pt>
                <c:pt idx="7">
                  <c:v>7286.2257598072529</c:v>
                </c:pt>
                <c:pt idx="8">
                  <c:v>8172.1699729338443</c:v>
                </c:pt>
                <c:pt idx="9">
                  <c:v>9081.4041860604357</c:v>
                </c:pt>
                <c:pt idx="10">
                  <c:v>10015.928399187027</c:v>
                </c:pt>
                <c:pt idx="11">
                  <c:v>10987.792201354714</c:v>
                </c:pt>
                <c:pt idx="12">
                  <c:v>12075.585558316921</c:v>
                </c:pt>
                <c:pt idx="13">
                  <c:v>13204.259120758581</c:v>
                </c:pt>
                <c:pt idx="14">
                  <c:v>14376.837683200241</c:v>
                </c:pt>
                <c:pt idx="15">
                  <c:v>15591.321245641902</c:v>
                </c:pt>
                <c:pt idx="16">
                  <c:v>16849.709808083564</c:v>
                </c:pt>
                <c:pt idx="17">
                  <c:v>18152.003370525224</c:v>
                </c:pt>
                <c:pt idx="18">
                  <c:v>19498.201932966884</c:v>
                </c:pt>
                <c:pt idx="19">
                  <c:v>20000</c:v>
                </c:pt>
                <c:pt idx="20">
                  <c:v>20000</c:v>
                </c:pt>
                <c:pt idx="21">
                  <c:v>20000</c:v>
                </c:pt>
                <c:pt idx="22">
                  <c:v>20000</c:v>
                </c:pt>
                <c:pt idx="23">
                  <c:v>20000</c:v>
                </c:pt>
              </c:numCache>
            </c:numRef>
          </c:val>
          <c:smooth val="0"/>
          <c:extLst>
            <c:ext xmlns:c16="http://schemas.microsoft.com/office/drawing/2014/chart" uri="{C3380CC4-5D6E-409C-BE32-E72D297353CC}">
              <c16:uniqueId val="{00000001-C663-4DD8-B37E-C83921523AB7}"/>
            </c:ext>
          </c:extLst>
        </c:ser>
        <c:dLbls>
          <c:showLegendKey val="0"/>
          <c:showVal val="0"/>
          <c:showCatName val="0"/>
          <c:showSerName val="0"/>
          <c:showPercent val="0"/>
          <c:showBubbleSize val="0"/>
        </c:dLbls>
        <c:marker val="1"/>
        <c:smooth val="0"/>
        <c:axId val="492899328"/>
        <c:axId val="981183200"/>
      </c:lineChart>
      <c:dateAx>
        <c:axId val="1081247216"/>
        <c:scaling>
          <c:orientation val="minMax"/>
        </c:scaling>
        <c:delete val="0"/>
        <c:axPos val="b"/>
        <c:numFmt formatCode="m/d/yy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1081249296"/>
        <c:crosses val="autoZero"/>
        <c:auto val="1"/>
        <c:lblOffset val="100"/>
        <c:baseTimeUnit val="months"/>
      </c:dateAx>
      <c:valAx>
        <c:axId val="1081249296"/>
        <c:scaling>
          <c:orientation val="minMax"/>
          <c:max val="1000"/>
        </c:scaling>
        <c:delete val="0"/>
        <c:axPos val="l"/>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1081247216"/>
        <c:crosses val="autoZero"/>
        <c:crossBetween val="between"/>
      </c:valAx>
      <c:valAx>
        <c:axId val="981183200"/>
        <c:scaling>
          <c:orientation val="minMax"/>
        </c:scaling>
        <c:delete val="0"/>
        <c:axPos val="r"/>
        <c:numFmt formatCode="_(#,##0_);\(#,##0\);_(&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492899328"/>
        <c:crosses val="max"/>
        <c:crossBetween val="between"/>
      </c:valAx>
      <c:dateAx>
        <c:axId val="492899328"/>
        <c:scaling>
          <c:orientation val="minMax"/>
        </c:scaling>
        <c:delete val="1"/>
        <c:axPos val="b"/>
        <c:numFmt formatCode="m/d/yyyy" sourceLinked="1"/>
        <c:majorTickMark val="out"/>
        <c:minorTickMark val="none"/>
        <c:tickLblPos val="nextTo"/>
        <c:crossAx val="981183200"/>
        <c:crosses val="autoZero"/>
        <c:auto val="1"/>
        <c:lblOffset val="100"/>
        <c:baseTimeUnit val="months"/>
      </c:dateAx>
      <c:spPr>
        <a:noFill/>
        <a:ln>
          <a:noFill/>
        </a:ln>
        <a:effectLst/>
      </c:spPr>
    </c:plotArea>
    <c:legend>
      <c:legendPos val="b"/>
      <c:layout>
        <c:manualLayout>
          <c:xMode val="edge"/>
          <c:yMode val="edge"/>
          <c:x val="0.28231412018379587"/>
          <c:y val="5.6243668554588594E-2"/>
          <c:w val="0.3795128886583144"/>
          <c:h val="6.1901853156091424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plotArea>
      <cx:plotAreaRegion>
        <cx:plotSurface>
          <cx:spPr>
            <a:ln>
              <a:solidFill>
                <a:schemeClr val="bg1"/>
              </a:solidFill>
            </a:ln>
          </cx:spPr>
        </cx:plotSurface>
        <cx:series layoutId="waterfall" uniqueId="{40E69CDE-BEE7-4777-A039-49F1A36A1A76}" formatIdx="8">
          <cx:tx>
            <cx:txData>
              <cx:f>_xlchart.1</cx:f>
              <cx:v>2024</cx:v>
            </cx:txData>
          </cx:tx>
          <cx:dataPt idx="0">
            <cx:spPr>
              <a:solidFill>
                <a:schemeClr val="accent5">
                  <a:lumMod val="75000"/>
                </a:schemeClr>
              </a:solidFill>
            </cx:spPr>
          </cx:dataPt>
          <cx:dataPt idx="2">
            <cx:spPr>
              <a:solidFill>
                <a:srgbClr val="C1152E"/>
              </a:solidFill>
            </cx:spPr>
          </cx:dataPt>
          <cx:dataPt idx="3">
            <cx:spPr>
              <a:solidFill>
                <a:schemeClr val="bg2">
                  <a:lumMod val="50000"/>
                </a:schemeClr>
              </a:solidFill>
              <a:ln>
                <a:solidFill>
                  <a:schemeClr val="bg2">
                    <a:lumMod val="50000"/>
                  </a:schemeClr>
                </a:solidFill>
              </a:ln>
            </cx:spPr>
          </cx:dataPt>
          <cx:dataPt idx="5">
            <cx:spPr>
              <a:solidFill>
                <a:schemeClr val="bg2">
                  <a:lumMod val="25000"/>
                </a:schemeClr>
              </a:solidFill>
              <a:ln>
                <a:solidFill>
                  <a:schemeClr val="bg2">
                    <a:lumMod val="25000"/>
                  </a:schemeClr>
                </a:solidFill>
              </a:ln>
            </cx:spPr>
          </cx:dataPt>
          <cx:dataPt idx="8">
            <cx:spPr>
              <a:solidFill>
                <a:srgbClr val="002060"/>
              </a:solidFill>
              <a:ln>
                <a:solidFill>
                  <a:srgbClr val="002060"/>
                </a:solidFill>
              </a:ln>
            </cx:spPr>
          </cx:dataPt>
          <cx:dataLabels pos="outEnd">
            <cx:txPr>
              <a:bodyPr spcFirstLastPara="1" vertOverflow="ellipsis" wrap="square" lIns="0" tIns="0" rIns="0" bIns="0" anchor="ctr" anchorCtr="1">
                <a:spAutoFit/>
              </a:bodyPr>
              <a:lstStyle/>
              <a:p>
                <a:pPr>
                  <a:defRPr>
                    <a:solidFill>
                      <a:schemeClr val="tx1"/>
                    </a:solidFill>
                  </a:defRPr>
                </a:pPr>
                <a:endParaRPr lang="en-US">
                  <a:solidFill>
                    <a:schemeClr val="tx1"/>
                  </a:solidFill>
                </a:endParaRPr>
              </a:p>
            </cx:txPr>
            <cx:visibility seriesName="0" categoryName="0" value="1"/>
          </cx:dataLabels>
          <cx:dataId val="0"/>
          <cx:layoutPr>
            <cx:subtotals/>
          </cx:layoutPr>
        </cx:series>
      </cx:plotAreaRegion>
      <cx:axis id="0">
        <cx:catScaling gapWidth="0.800000012"/>
        <cx:tickLabels/>
        <cx:txPr>
          <a:bodyPr spcFirstLastPara="1" vertOverflow="ellipsis" wrap="square" lIns="0" tIns="0" rIns="0" bIns="0" anchor="ctr" anchorCtr="1"/>
          <a:lstStyle/>
          <a:p>
            <a:pPr>
              <a:defRPr lang="ru-RU" sz="900" b="0" i="0" u="none" strike="noStrike" kern="1200" baseline="0">
                <a:solidFill>
                  <a:schemeClr val="tx1"/>
                </a:solidFill>
                <a:latin typeface="Arial Narrow" panose="020B0606020202030204" pitchFamily="34" charset="0"/>
                <a:ea typeface="Arial Narrow" panose="020B0606020202030204" pitchFamily="34" charset="0"/>
                <a:cs typeface="Arial Narrow" panose="020B0606020202030204" pitchFamily="34" charset="0"/>
              </a:defRPr>
            </a:pPr>
            <a:endParaRPr lang="en-US" sz="900">
              <a:solidFill>
                <a:schemeClr val="tx1"/>
              </a:solidFill>
              <a:latin typeface="Arial Narrow" panose="020B0606020202030204" pitchFamily="34" charset="0"/>
            </a:endParaRPr>
          </a:p>
        </cx:txPr>
      </cx:axis>
      <cx:axis id="1">
        <cx:valScaling/>
        <cx:tickLabels/>
        <cx:txPr>
          <a:bodyPr spcFirstLastPara="1" vertOverflow="ellipsis" wrap="square" lIns="0" tIns="0" rIns="0" bIns="0" anchor="ctr" anchorCtr="1"/>
          <a:lstStyle/>
          <a:p>
            <a:pPr>
              <a:defRPr>
                <a:solidFill>
                  <a:schemeClr val="tx1"/>
                </a:solidFill>
              </a:defRPr>
            </a:pPr>
            <a:endParaRPr lang="en-US">
              <a:solidFill>
                <a:schemeClr val="tx1"/>
              </a:solidFill>
            </a:endParaRPr>
          </a:p>
        </cx:txPr>
      </cx:axis>
    </cx:plotArea>
  </cx:chart>
  <cx:spPr>
    <a:ln>
      <a:noFill/>
    </a:ln>
  </cx:spPr>
  <cx:clrMapOvr bg1="lt1" tx1="dk1" bg2="lt2" tx2="dk2" accent1="accent1" accent2="accent2" accent3="accent3" accent4="accent4" accent5="accent5" accent6="accent6" hlink="hlink" folHlink="folHlink"/>
</cx: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500769094243624"/>
          <c:y val="3.2846886524088986E-2"/>
          <c:w val="0.70699718821931545"/>
          <c:h val="0.85476014271039291"/>
        </c:manualLayout>
      </c:layout>
      <c:barChart>
        <c:barDir val="col"/>
        <c:grouping val="stacked"/>
        <c:varyColors val="0"/>
        <c:ser>
          <c:idx val="4"/>
          <c:order val="0"/>
          <c:tx>
            <c:strRef>
              <c:f>Outputs!$E$167</c:f>
              <c:strCache>
                <c:ptCount val="1"/>
                <c:pt idx="0">
                  <c:v>Revenue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Outputs!$B$169:$B$175</c:f>
              <c:strCache>
                <c:ptCount val="7"/>
                <c:pt idx="0">
                  <c:v>Italian Restaurant</c:v>
                </c:pt>
                <c:pt idx="1">
                  <c:v>Japanese Restaurant</c:v>
                </c:pt>
                <c:pt idx="2">
                  <c:v>Burger Joint</c:v>
                </c:pt>
                <c:pt idx="3">
                  <c:v>Pizzeria</c:v>
                </c:pt>
                <c:pt idx="4">
                  <c:v>Beverage Brand</c:v>
                </c:pt>
                <c:pt idx="5">
                  <c:v>Delivery Service</c:v>
                </c:pt>
                <c:pt idx="6">
                  <c:v>Central Kitchen (Commissary)</c:v>
                </c:pt>
              </c:strCache>
            </c:strRef>
          </c:cat>
          <c:val>
            <c:numRef>
              <c:f>Outputs!$E$169:$E$175</c:f>
              <c:numCache>
                <c:formatCode>_(#,##0_);\(#,##0\);_("–"_);_(@_)</c:formatCode>
                <c:ptCount val="7"/>
                <c:pt idx="0">
                  <c:v>2686.2989999999995</c:v>
                </c:pt>
                <c:pt idx="1">
                  <c:v>2075.7764999999999</c:v>
                </c:pt>
                <c:pt idx="2">
                  <c:v>2197.8809999999999</c:v>
                </c:pt>
                <c:pt idx="3">
                  <c:v>1831.5674999999997</c:v>
                </c:pt>
                <c:pt idx="4">
                  <c:v>1587.3585</c:v>
                </c:pt>
                <c:pt idx="5">
                  <c:v>1831.5674999999997</c:v>
                </c:pt>
                <c:pt idx="6">
                  <c:v>0</c:v>
                </c:pt>
              </c:numCache>
            </c:numRef>
          </c:val>
          <c:extLst>
            <c:ext xmlns:c16="http://schemas.microsoft.com/office/drawing/2014/chart" uri="{C3380CC4-5D6E-409C-BE32-E72D297353CC}">
              <c16:uniqueId val="{00000004-DFBF-498F-898D-98C1AE12B1F2}"/>
            </c:ext>
          </c:extLst>
        </c:ser>
        <c:ser>
          <c:idx val="3"/>
          <c:order val="1"/>
          <c:tx>
            <c:strRef>
              <c:f>Outputs!$F$167</c:f>
              <c:strCache>
                <c:ptCount val="1"/>
                <c:pt idx="0">
                  <c:v>COGS</c:v>
                </c:pt>
              </c:strCache>
            </c:strRef>
          </c:tx>
          <c:spPr>
            <a:solidFill>
              <a:srgbClr val="F25D2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Outputs!$B$169:$B$175</c:f>
              <c:strCache>
                <c:ptCount val="7"/>
                <c:pt idx="0">
                  <c:v>Italian Restaurant</c:v>
                </c:pt>
                <c:pt idx="1">
                  <c:v>Japanese Restaurant</c:v>
                </c:pt>
                <c:pt idx="2">
                  <c:v>Burger Joint</c:v>
                </c:pt>
                <c:pt idx="3">
                  <c:v>Pizzeria</c:v>
                </c:pt>
                <c:pt idx="4">
                  <c:v>Beverage Brand</c:v>
                </c:pt>
                <c:pt idx="5">
                  <c:v>Delivery Service</c:v>
                </c:pt>
                <c:pt idx="6">
                  <c:v>Central Kitchen (Commissary)</c:v>
                </c:pt>
              </c:strCache>
            </c:strRef>
          </c:cat>
          <c:val>
            <c:numRef>
              <c:f>Outputs!$F$169:$F$175</c:f>
              <c:numCache>
                <c:formatCode>_(#,##0_);\(#,##0\);_("–"_);_(@_)</c:formatCode>
                <c:ptCount val="7"/>
                <c:pt idx="0">
                  <c:v>1831.5674999999997</c:v>
                </c:pt>
                <c:pt idx="1">
                  <c:v>1318.7285999999999</c:v>
                </c:pt>
                <c:pt idx="2">
                  <c:v>1465.2539999999997</c:v>
                </c:pt>
                <c:pt idx="3">
                  <c:v>1025.6777999999999</c:v>
                </c:pt>
                <c:pt idx="4">
                  <c:v>586.10159999999996</c:v>
                </c:pt>
                <c:pt idx="5">
                  <c:v>879.15239999999983</c:v>
                </c:pt>
                <c:pt idx="6">
                  <c:v>219.78809999999996</c:v>
                </c:pt>
              </c:numCache>
            </c:numRef>
          </c:val>
          <c:extLst>
            <c:ext xmlns:c16="http://schemas.microsoft.com/office/drawing/2014/chart" uri="{C3380CC4-5D6E-409C-BE32-E72D297353CC}">
              <c16:uniqueId val="{00000003-DFBF-498F-898D-98C1AE12B1F2}"/>
            </c:ext>
          </c:extLst>
        </c:ser>
        <c:ser>
          <c:idx val="0"/>
          <c:order val="2"/>
          <c:tx>
            <c:strRef>
              <c:f>Outputs!$G$167</c:f>
              <c:strCache>
                <c:ptCount val="1"/>
                <c:pt idx="0">
                  <c:v>Oper. Exp.</c:v>
                </c:pt>
              </c:strCache>
            </c:strRef>
          </c:tx>
          <c:spPr>
            <a:solidFill>
              <a:schemeClr val="bg2">
                <a:lumMod val="50000"/>
              </a:schemeClr>
            </a:solidFill>
            <a:ln w="317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Outputs!$B$169:$B$175</c:f>
              <c:strCache>
                <c:ptCount val="7"/>
                <c:pt idx="0">
                  <c:v>Italian Restaurant</c:v>
                </c:pt>
                <c:pt idx="1">
                  <c:v>Japanese Restaurant</c:v>
                </c:pt>
                <c:pt idx="2">
                  <c:v>Burger Joint</c:v>
                </c:pt>
                <c:pt idx="3">
                  <c:v>Pizzeria</c:v>
                </c:pt>
                <c:pt idx="4">
                  <c:v>Beverage Brand</c:v>
                </c:pt>
                <c:pt idx="5">
                  <c:v>Delivery Service</c:v>
                </c:pt>
                <c:pt idx="6">
                  <c:v>Central Kitchen (Commissary)</c:v>
                </c:pt>
              </c:strCache>
            </c:strRef>
          </c:cat>
          <c:val>
            <c:numRef>
              <c:f>Outputs!$G$169:$G$175</c:f>
              <c:numCache>
                <c:formatCode>_(#,##0_);\(#,##0\);_("–"_);_(@_)</c:formatCode>
                <c:ptCount val="7"/>
                <c:pt idx="0">
                  <c:v>4542.72</c:v>
                </c:pt>
                <c:pt idx="1">
                  <c:v>3319.6800000000003</c:v>
                </c:pt>
                <c:pt idx="2">
                  <c:v>2970.2400000000007</c:v>
                </c:pt>
                <c:pt idx="3">
                  <c:v>2446.0800000000008</c:v>
                </c:pt>
                <c:pt idx="4">
                  <c:v>1747.1999999999998</c:v>
                </c:pt>
                <c:pt idx="5">
                  <c:v>2096.64</c:v>
                </c:pt>
                <c:pt idx="6">
                  <c:v>349.44000000000005</c:v>
                </c:pt>
              </c:numCache>
            </c:numRef>
          </c:val>
          <c:extLst>
            <c:ext xmlns:c16="http://schemas.microsoft.com/office/drawing/2014/chart" uri="{C3380CC4-5D6E-409C-BE32-E72D297353CC}">
              <c16:uniqueId val="{00000005-DFBF-498F-898D-98C1AE12B1F2}"/>
            </c:ext>
          </c:extLst>
        </c:ser>
        <c:dLbls>
          <c:showLegendKey val="0"/>
          <c:showVal val="0"/>
          <c:showCatName val="0"/>
          <c:showSerName val="0"/>
          <c:showPercent val="0"/>
          <c:showBubbleSize val="0"/>
        </c:dLbls>
        <c:gapWidth val="80"/>
        <c:overlap val="100"/>
        <c:axId val="965372575"/>
        <c:axId val="965370079"/>
      </c:barChart>
      <c:lineChart>
        <c:grouping val="standard"/>
        <c:varyColors val="0"/>
        <c:ser>
          <c:idx val="1"/>
          <c:order val="3"/>
          <c:tx>
            <c:strRef>
              <c:f>Outputs!$H$167</c:f>
              <c:strCache>
                <c:ptCount val="1"/>
                <c:pt idx="0">
                  <c:v>EBITDA</c:v>
                </c:pt>
              </c:strCache>
            </c:strRef>
          </c:tx>
          <c:spPr>
            <a:ln w="28575" cap="rnd">
              <a:solidFill>
                <a:schemeClr val="accent2"/>
              </a:solidFill>
              <a:round/>
            </a:ln>
            <a:effectLst/>
          </c:spPr>
          <c:marker>
            <c:symbol val="circle"/>
            <c:size val="7"/>
            <c:spPr>
              <a:solidFill>
                <a:schemeClr val="bg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Outputs!$B$169:$B$175</c:f>
              <c:strCache>
                <c:ptCount val="7"/>
                <c:pt idx="0">
                  <c:v>Italian Restaurant</c:v>
                </c:pt>
                <c:pt idx="1">
                  <c:v>Japanese Restaurant</c:v>
                </c:pt>
                <c:pt idx="2">
                  <c:v>Burger Joint</c:v>
                </c:pt>
                <c:pt idx="3">
                  <c:v>Pizzeria</c:v>
                </c:pt>
                <c:pt idx="4">
                  <c:v>Beverage Brand</c:v>
                </c:pt>
                <c:pt idx="5">
                  <c:v>Delivery Service</c:v>
                </c:pt>
                <c:pt idx="6">
                  <c:v>Central Kitchen (Commissary)</c:v>
                </c:pt>
              </c:strCache>
            </c:strRef>
          </c:cat>
          <c:val>
            <c:numRef>
              <c:f>Outputs!$H$169:$H$175</c:f>
              <c:numCache>
                <c:formatCode>_(#,##0_);\(#,##0\);_("–"_);_(@_)</c:formatCode>
                <c:ptCount val="7"/>
                <c:pt idx="0">
                  <c:v>-3687.9885000000004</c:v>
                </c:pt>
                <c:pt idx="1">
                  <c:v>-2562.6321000000003</c:v>
                </c:pt>
                <c:pt idx="2">
                  <c:v>-2237.6130000000003</c:v>
                </c:pt>
                <c:pt idx="3">
                  <c:v>-1640.1903000000011</c:v>
                </c:pt>
                <c:pt idx="4">
                  <c:v>-745.94309999999973</c:v>
                </c:pt>
                <c:pt idx="5">
                  <c:v>-1144.2249000000002</c:v>
                </c:pt>
                <c:pt idx="6">
                  <c:v>-569.22810000000004</c:v>
                </c:pt>
              </c:numCache>
            </c:numRef>
          </c:val>
          <c:smooth val="0"/>
          <c:extLst>
            <c:ext xmlns:c16="http://schemas.microsoft.com/office/drawing/2014/chart" uri="{C3380CC4-5D6E-409C-BE32-E72D297353CC}">
              <c16:uniqueId val="{00000002-C34A-4C7E-AE7A-D5FAB9AC928C}"/>
            </c:ext>
          </c:extLst>
        </c:ser>
        <c:dLbls>
          <c:showLegendKey val="0"/>
          <c:showVal val="0"/>
          <c:showCatName val="0"/>
          <c:showSerName val="0"/>
          <c:showPercent val="0"/>
          <c:showBubbleSize val="0"/>
        </c:dLbls>
        <c:marker val="1"/>
        <c:smooth val="0"/>
        <c:axId val="965372575"/>
        <c:axId val="965370079"/>
      </c:lineChart>
      <c:catAx>
        <c:axId val="96537257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n-US"/>
          </a:p>
        </c:txPr>
        <c:crossAx val="965370079"/>
        <c:crosses val="autoZero"/>
        <c:auto val="1"/>
        <c:lblAlgn val="ctr"/>
        <c:lblOffset val="100"/>
        <c:noMultiLvlLbl val="0"/>
      </c:catAx>
      <c:valAx>
        <c:axId val="965370079"/>
        <c:scaling>
          <c:orientation val="minMax"/>
          <c:min val="-5000"/>
        </c:scaling>
        <c:delete val="0"/>
        <c:axPos val="l"/>
        <c:numFmt formatCode="_(#,##0_);\(#,##0\);_(&quot;–&quot;_);_(@_)" sourceLinked="1"/>
        <c:majorTickMark val="none"/>
        <c:minorTickMark val="none"/>
        <c:tickLblPos val="nextTo"/>
        <c:spPr>
          <a:pattFill prst="pct5">
            <a:fgClr>
              <a:srgbClr val="F14D37"/>
            </a:fgClr>
            <a:bgClr>
              <a:schemeClr val="bg1"/>
            </a:bgClr>
          </a:patt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n-US"/>
          </a:p>
        </c:txPr>
        <c:crossAx val="965372575"/>
        <c:crosses val="autoZero"/>
        <c:crossBetween val="between"/>
        <c:majorUnit val="1000"/>
      </c:valAx>
      <c:spPr>
        <a:noFill/>
        <a:ln>
          <a:noFill/>
        </a:ln>
        <a:effectLst/>
      </c:spPr>
    </c:plotArea>
    <c:legend>
      <c:legendPos val="b"/>
      <c:layout>
        <c:manualLayout>
          <c:xMode val="edge"/>
          <c:yMode val="edge"/>
          <c:x val="0.52177424125894811"/>
          <c:y val="6.6345660179495475E-2"/>
          <c:w val="0.46894718852027478"/>
          <c:h val="6.52935732555805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_xlchart.5</cx:f>
      </cx:numDim>
    </cx:data>
  </cx:chartData>
  <cx:chart>
    <cx:plotArea>
      <cx:plotAreaRegion>
        <cx:plotSurface>
          <cx:spPr>
            <a:ln>
              <a:solidFill>
                <a:schemeClr val="bg1"/>
              </a:solidFill>
            </a:ln>
          </cx:spPr>
        </cx:plotSurface>
        <cx:series layoutId="waterfall" uniqueId="{40E69CDE-BEE7-4777-A039-49F1A36A1A76}" formatIdx="8">
          <cx:tx>
            <cx:txData>
              <cx:f>_xlchart.4</cx:f>
              <cx:v>2024</cx:v>
            </cx:txData>
          </cx:tx>
          <cx:spPr>
            <a:solidFill>
              <a:srgbClr val="002060"/>
            </a:solidFill>
            <a:ln>
              <a:solidFill>
                <a:srgbClr val="002060"/>
              </a:solidFill>
            </a:ln>
          </cx:spPr>
          <cx:dataPt idx="1">
            <cx:spPr>
              <a:solidFill>
                <a:srgbClr val="EB6105"/>
              </a:solidFill>
              <a:ln>
                <a:solidFill>
                  <a:srgbClr val="F14D37"/>
                </a:solidFill>
              </a:ln>
            </cx:spPr>
          </cx:dataPt>
          <cx:dataPt idx="2">
            <cx:spPr>
              <a:solidFill>
                <a:srgbClr val="347EB6"/>
              </a:solidFill>
              <a:ln>
                <a:solidFill>
                  <a:srgbClr val="002060"/>
                </a:solidFill>
              </a:ln>
            </cx:spPr>
          </cx:dataPt>
          <cx:dataPt idx="4">
            <cx:spPr>
              <a:solidFill>
                <a:srgbClr val="1C90B0"/>
              </a:solidFill>
              <a:ln>
                <a:solidFill>
                  <a:srgbClr val="1C90B0"/>
                </a:solidFill>
              </a:ln>
            </cx:spPr>
          </cx:dataPt>
          <cx:dataPt idx="5">
            <cx:spPr>
              <a:solidFill>
                <a:schemeClr val="bg2">
                  <a:lumMod val="75000"/>
                </a:schemeClr>
              </a:solidFill>
              <a:ln>
                <a:solidFill>
                  <a:schemeClr val="bg2">
                    <a:lumMod val="75000"/>
                  </a:schemeClr>
                </a:solidFill>
              </a:ln>
            </cx:spPr>
          </cx:dataPt>
          <cx:dataPt idx="6">
            <cx:spPr>
              <a:solidFill>
                <a:srgbClr val="67B58A"/>
              </a:solidFill>
              <a:ln>
                <a:solidFill>
                  <a:srgbClr val="67B58A"/>
                </a:solidFill>
              </a:ln>
            </cx:spPr>
          </cx:dataPt>
          <cx:dataLabels pos="outEnd">
            <cx:txPr>
              <a:bodyPr spcFirstLastPara="1" vertOverflow="ellipsis" wrap="square" lIns="0" tIns="0" rIns="0" bIns="0" anchor="ctr" anchorCtr="1">
                <a:spAutoFit/>
              </a:bodyPr>
              <a:lstStyle/>
              <a:p>
                <a:pPr>
                  <a:defRPr>
                    <a:solidFill>
                      <a:schemeClr val="tx1"/>
                    </a:solidFill>
                  </a:defRPr>
                </a:pPr>
                <a:endParaRPr lang="en-US">
                  <a:solidFill>
                    <a:schemeClr val="tx1"/>
                  </a:solidFill>
                </a:endParaRPr>
              </a:p>
            </cx:txPr>
            <cx:visibility seriesName="0" categoryName="0" value="1"/>
          </cx:dataLabels>
          <cx:dataId val="0"/>
          <cx:layoutPr>
            <cx:subtotals/>
          </cx:layoutPr>
        </cx:series>
      </cx:plotAreaRegion>
      <cx:axis id="0">
        <cx:catScaling gapWidth="0.800000012"/>
        <cx:tickLabels/>
        <cx:txPr>
          <a:bodyPr spcFirstLastPara="1" vertOverflow="ellipsis" wrap="square" lIns="0" tIns="0" rIns="0" bIns="0" anchor="ctr" anchorCtr="1"/>
          <a:lstStyle/>
          <a:p>
            <a:pPr>
              <a:defRPr lang="ru-RU" sz="900" b="0" i="0" u="none" strike="noStrike" kern="1200" baseline="0">
                <a:solidFill>
                  <a:sysClr val="windowText" lastClr="000000"/>
                </a:solidFill>
                <a:latin typeface="Arial Narrow" panose="020B0606020202030204" pitchFamily="34" charset="0"/>
                <a:ea typeface="Arial Narrow" panose="020B0606020202030204" pitchFamily="34" charset="0"/>
                <a:cs typeface="Arial Narrow" panose="020B0606020202030204" pitchFamily="34" charset="0"/>
              </a:defRPr>
            </a:pPr>
            <a:endParaRPr lang="en-US" sz="900">
              <a:solidFill>
                <a:sysClr val="windowText" lastClr="000000"/>
              </a:solidFill>
              <a:latin typeface="Arial Narrow" panose="020B0606020202030204" pitchFamily="34" charset="0"/>
            </a:endParaRPr>
          </a:p>
        </cx:txPr>
      </cx:axis>
      <cx:axis id="1">
        <cx:valScaling/>
        <cx:tickLabels/>
        <cx:txPr>
          <a:bodyPr spcFirstLastPara="1" vertOverflow="ellipsis" wrap="square" lIns="0" tIns="0" rIns="0" bIns="0" anchor="ctr" anchorCtr="1"/>
          <a:lstStyle/>
          <a:p>
            <a:pPr>
              <a:defRPr>
                <a:solidFill>
                  <a:schemeClr val="tx1"/>
                </a:solidFill>
              </a:defRPr>
            </a:pPr>
            <a:endParaRPr lang="en-US">
              <a:solidFill>
                <a:schemeClr val="tx1"/>
              </a:solidFill>
            </a:endParaRPr>
          </a:p>
        </cx:txPr>
      </cx:axis>
    </cx:plotArea>
  </cx:chart>
  <cx:spPr>
    <a:ln>
      <a:noFill/>
    </a:ln>
  </cx:spPr>
  <cx:clrMapOvr bg1="lt1" tx1="dk1" bg2="lt2" tx2="dk2" accent1="accent1" accent2="accent2" accent3="accent3" accent4="accent4" accent5="accent5" accent6="accent6" hlink="hlink" folHlink="folHlink"/>
</cx: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Outputs!$B$123</c:f>
              <c:strCache>
                <c:ptCount val="1"/>
                <c:pt idx="0">
                  <c:v>Leverage Ratio</c:v>
                </c:pt>
              </c:strCache>
            </c:strRef>
          </c:tx>
          <c:spPr>
            <a:ln w="28575" cap="rnd">
              <a:solidFill>
                <a:schemeClr val="accent4">
                  <a:lumMod val="50000"/>
                </a:schemeClr>
              </a:solidFill>
              <a:round/>
            </a:ln>
            <a:effectLst/>
          </c:spPr>
          <c:marker>
            <c:symbol val="circle"/>
            <c:size val="7"/>
            <c:spPr>
              <a:solidFill>
                <a:schemeClr val="bg1"/>
              </a:solidFill>
              <a:ln w="9525">
                <a:solidFill>
                  <a:schemeClr val="accent4">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Outputs!$D$119:$AA$119</c:f>
              <c:numCache>
                <c:formatCode>m/d/yyyy</c:formatCode>
                <c:ptCount val="2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numCache>
            </c:numRef>
          </c:cat>
          <c:val>
            <c:numRef>
              <c:f>Outputs!$C$123:$AA$123</c:f>
              <c:numCache>
                <c:formatCode>0.0"x"</c:formatCode>
                <c:ptCount val="25"/>
                <c:pt idx="1">
                  <c:v>-0.81245195434915796</c:v>
                </c:pt>
                <c:pt idx="2">
                  <c:v>-0.87595012854147691</c:v>
                </c:pt>
                <c:pt idx="3">
                  <c:v>-0.93971196083201447</c:v>
                </c:pt>
                <c:pt idx="4">
                  <c:v>-1.00395476222837</c:v>
                </c:pt>
                <c:pt idx="5">
                  <c:v>-1.0686542212112378</c:v>
                </c:pt>
                <c:pt idx="6">
                  <c:v>-1.1337876230921318</c:v>
                </c:pt>
                <c:pt idx="7">
                  <c:v>-1.1993337209413195</c:v>
                </c:pt>
                <c:pt idx="8">
                  <c:v>-1.2652726188355825</c:v>
                </c:pt>
                <c:pt idx="9">
                  <c:v>-1.3317985416410971</c:v>
                </c:pt>
                <c:pt idx="10">
                  <c:v>-1.3986745482162368</c:v>
                </c:pt>
                <c:pt idx="11">
                  <c:v>-1.4660909091922993</c:v>
                </c:pt>
                <c:pt idx="12">
                  <c:v>-1.5049908264530223</c:v>
                </c:pt>
                <c:pt idx="13">
                  <c:v>-1.507116689456379</c:v>
                </c:pt>
                <c:pt idx="14">
                  <c:v>-1.5550384032911437</c:v>
                </c:pt>
                <c:pt idx="15">
                  <c:v>-1.6038612035413675</c:v>
                </c:pt>
                <c:pt idx="16">
                  <c:v>-1.6533344965158319</c:v>
                </c:pt>
                <c:pt idx="17">
                  <c:v>-1.7035676269378968</c:v>
                </c:pt>
                <c:pt idx="18">
                  <c:v>-1.7544967772455928</c:v>
                </c:pt>
                <c:pt idx="19">
                  <c:v>-1.8060650644755576</c:v>
                </c:pt>
                <c:pt idx="20">
                  <c:v>-1.7905183013911439</c:v>
                </c:pt>
                <c:pt idx="21">
                  <c:v>-1.7384837173768941</c:v>
                </c:pt>
                <c:pt idx="22">
                  <c:v>-1.6890346637586398</c:v>
                </c:pt>
                <c:pt idx="23">
                  <c:v>-1.6476492780505128</c:v>
                </c:pt>
                <c:pt idx="24">
                  <c:v>-1.6079493903819144</c:v>
                </c:pt>
              </c:numCache>
            </c:numRef>
          </c:val>
          <c:smooth val="0"/>
          <c:extLst>
            <c:ext xmlns:c16="http://schemas.microsoft.com/office/drawing/2014/chart" uri="{C3380CC4-5D6E-409C-BE32-E72D297353CC}">
              <c16:uniqueId val="{00000000-E122-40D7-AB5F-492D0EFC8DCD}"/>
            </c:ext>
          </c:extLst>
        </c:ser>
        <c:dLbls>
          <c:dLblPos val="t"/>
          <c:showLegendKey val="0"/>
          <c:showVal val="1"/>
          <c:showCatName val="0"/>
          <c:showSerName val="0"/>
          <c:showPercent val="0"/>
          <c:showBubbleSize val="0"/>
        </c:dLbls>
        <c:marker val="1"/>
        <c:smooth val="0"/>
        <c:axId val="459138959"/>
        <c:axId val="459133551"/>
      </c:lineChart>
      <c:dateAx>
        <c:axId val="459138959"/>
        <c:scaling>
          <c:orientation val="minMax"/>
        </c:scaling>
        <c:delete val="0"/>
        <c:axPos val="b"/>
        <c:numFmt formatCode="m/d/yy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459133551"/>
        <c:crosses val="autoZero"/>
        <c:auto val="1"/>
        <c:lblOffset val="100"/>
        <c:baseTimeUnit val="months"/>
      </c:dateAx>
      <c:valAx>
        <c:axId val="459133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4591389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0" fmlaLink="$F$29" fmlaRange="$T$30:$T$31" noThreeD="1" sel="1" val="0"/>
</file>

<file path=xl/ctrlProps/ctrlProp2.xml><?xml version="1.0" encoding="utf-8"?>
<formControlPr xmlns="http://schemas.microsoft.com/office/spreadsheetml/2009/9/main" objectType="Drop" dropStyle="combo" dx="20" fmlaLink="Model!$D$4" fmlaRange="Inputs!$B$10:$B$12" noThreeD="1" sel="1" val="0"/>
</file>

<file path=xl/ctrlProps/ctrlProp3.xml><?xml version="1.0" encoding="utf-8"?>
<formControlPr xmlns="http://schemas.microsoft.com/office/spreadsheetml/2009/9/main" objectType="Drop" dropStyle="combo" dx="20" fmlaLink="Model!$D$4" fmlaRange="$B$10:$B$12" noThreeD="1" sel="1" val="0"/>
</file>

<file path=xl/ctrlProps/ctrlProp4.xml><?xml version="1.0" encoding="utf-8"?>
<formControlPr xmlns="http://schemas.microsoft.com/office/spreadsheetml/2009/9/main" objectType="Drop" dropStyle="combo" dx="20" fmlaLink="$D$4" fmlaRange="Inputs!$B$10:$B$12" noThreeD="1" sel="1" val="0"/>
</file>

<file path=xl/ctrlProps/ctrlProp5.xml><?xml version="1.0" encoding="utf-8"?>
<formControlPr xmlns="http://schemas.microsoft.com/office/spreadsheetml/2009/9/main" objectType="Drop" dropStyle="combo" dx="20" fmlaLink="Cover!$F$29" fmlaRange="Cover!$T$30:$T$31" noThreeD="1" sel="1" val="0"/>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linkedin.com/in/valeriia-evtushenko-51110a304?jobid=1234&amp;lipi=urn:li:page:d_jobs_easyapply_pdfgenresume;yVEkKYseTwWb6LAFi4s8Lw%3D%3D&amp;licu=urn:li:control:d_jobs_easyapply_pdfgenresume-v02_profile"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15826</xdr:colOff>
      <xdr:row>0</xdr:row>
      <xdr:rowOff>0</xdr:rowOff>
    </xdr:from>
    <xdr:to>
      <xdr:col>6</xdr:col>
      <xdr:colOff>236218</xdr:colOff>
      <xdr:row>6</xdr:row>
      <xdr:rowOff>152400</xdr:rowOff>
    </xdr:to>
    <xdr:pic>
      <xdr:nvPicPr>
        <xdr:cNvPr id="4" name="Рисунок 3" descr="C:\Users\konst\AppData\Local\Temp\fc62cfdd-d7a4-486e-b5d0-1001098a2921_files (7).zip.921\valeriia_logo_navy_full.png">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8326" y="0"/>
          <a:ext cx="3268393" cy="124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5</xdr:col>
          <xdr:colOff>205740</xdr:colOff>
          <xdr:row>28</xdr:row>
          <xdr:rowOff>106680</xdr:rowOff>
        </xdr:from>
        <xdr:to>
          <xdr:col>6</xdr:col>
          <xdr:colOff>441960</xdr:colOff>
          <xdr:row>29</xdr:row>
          <xdr:rowOff>68580</xdr:rowOff>
        </xdr:to>
        <xdr:sp macro="" textlink="">
          <xdr:nvSpPr>
            <xdr:cNvPr id="8193" name="Drop Down 1" hidden="1">
              <a:extLst>
                <a:ext uri="{63B3BB69-23CF-44E3-9099-C40C66FF867C}">
                  <a14:compatExt spid="_x0000_s8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3</xdr:row>
          <xdr:rowOff>152400</xdr:rowOff>
        </xdr:from>
        <xdr:to>
          <xdr:col>4</xdr:col>
          <xdr:colOff>754380</xdr:colOff>
          <xdr:row>5</xdr:row>
          <xdr:rowOff>53340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350519</xdr:colOff>
      <xdr:row>20</xdr:row>
      <xdr:rowOff>99060</xdr:rowOff>
    </xdr:from>
    <xdr:to>
      <xdr:col>8</xdr:col>
      <xdr:colOff>380999</xdr:colOff>
      <xdr:row>37</xdr:row>
      <xdr:rowOff>139390</xdr:rowOff>
    </xdr:to>
    <xdr:graphicFrame macro="">
      <xdr:nvGraphicFramePr>
        <xdr:cNvPr id="2" name="Диаграмма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383542</xdr:colOff>
      <xdr:row>20</xdr:row>
      <xdr:rowOff>81662</xdr:rowOff>
    </xdr:from>
    <xdr:to>
      <xdr:col>18</xdr:col>
      <xdr:colOff>36871</xdr:colOff>
      <xdr:row>35</xdr:row>
      <xdr:rowOff>176261</xdr:rowOff>
    </xdr:to>
    <xdr:graphicFrame macro="">
      <xdr:nvGraphicFramePr>
        <xdr:cNvPr id="3" name="Диаграмма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594359</xdr:colOff>
      <xdr:row>92</xdr:row>
      <xdr:rowOff>0</xdr:rowOff>
    </xdr:from>
    <xdr:to>
      <xdr:col>15</xdr:col>
      <xdr:colOff>455342</xdr:colOff>
      <xdr:row>111</xdr:row>
      <xdr:rowOff>0</xdr:rowOff>
    </xdr:to>
    <xdr:graphicFrame macro="">
      <xdr:nvGraphicFramePr>
        <xdr:cNvPr id="4" name="Диаграмма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715537</xdr:colOff>
      <xdr:row>30</xdr:row>
      <xdr:rowOff>155993</xdr:rowOff>
    </xdr:from>
    <xdr:to>
      <xdr:col>7</xdr:col>
      <xdr:colOff>204440</xdr:colOff>
      <xdr:row>34</xdr:row>
      <xdr:rowOff>46464</xdr:rowOff>
    </xdr:to>
    <xdr:sp macro="" textlink="">
      <xdr:nvSpPr>
        <xdr:cNvPr id="5" name="TextBox 4"/>
        <xdr:cNvSpPr txBox="1"/>
      </xdr:nvSpPr>
      <xdr:spPr>
        <a:xfrm>
          <a:off x="3345366" y="5694432"/>
          <a:ext cx="1802781" cy="633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EB6105"/>
              </a:solidFill>
              <a:latin typeface="Arial Narrow" panose="020B0606020202030204" pitchFamily="34" charset="0"/>
            </a:rPr>
            <a:t>2020: Expenses overtake Revenue — structural deficit begins</a:t>
          </a:r>
          <a:endParaRPr lang="en-US" sz="1100" b="1">
            <a:solidFill>
              <a:srgbClr val="EB6105"/>
            </a:solidFill>
            <a:latin typeface="Arial Narrow" panose="020B0606020202030204" pitchFamily="34" charset="0"/>
          </a:endParaRPr>
        </a:p>
      </xdr:txBody>
    </xdr:sp>
    <xdr:clientData/>
  </xdr:twoCellAnchor>
  <xdr:twoCellAnchor>
    <xdr:from>
      <xdr:col>3</xdr:col>
      <xdr:colOff>561158</xdr:colOff>
      <xdr:row>31</xdr:row>
      <xdr:rowOff>20983</xdr:rowOff>
    </xdr:from>
    <xdr:to>
      <xdr:col>4</xdr:col>
      <xdr:colOff>524288</xdr:colOff>
      <xdr:row>32</xdr:row>
      <xdr:rowOff>20984</xdr:rowOff>
    </xdr:to>
    <xdr:cxnSp macro="">
      <xdr:nvCxnSpPr>
        <xdr:cNvPr id="7" name="Прямая со стрелкой 6"/>
        <xdr:cNvCxnSpPr/>
      </xdr:nvCxnSpPr>
      <xdr:spPr>
        <a:xfrm flipH="1" flipV="1">
          <a:off x="2456865" y="5745276"/>
          <a:ext cx="697252" cy="185854"/>
        </a:xfrm>
        <a:prstGeom prst="straightConnector1">
          <a:avLst/>
        </a:prstGeom>
        <a:ln w="2222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192422</xdr:colOff>
      <xdr:row>57</xdr:row>
      <xdr:rowOff>115454</xdr:rowOff>
    </xdr:from>
    <xdr:to>
      <xdr:col>9</xdr:col>
      <xdr:colOff>76970</xdr:colOff>
      <xdr:row>77</xdr:row>
      <xdr:rowOff>23091</xdr:rowOff>
    </xdr:to>
    <mc:AlternateContent xmlns:mc="http://schemas.openxmlformats.org/markup-compatibility/2006">
      <mc:Choice xmlns:cx="http://schemas.microsoft.com/office/drawing/2014/chartex" Requires="cx">
        <xdr:graphicFrame macro="">
          <xdr:nvGraphicFramePr>
            <xdr:cNvPr id="6" name="Диаграмма 5"/>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Эта диаграмма недоступна в вашей версии Excel.
Изменение этой фигуры или сохранение книги в другом формате приведет к остаточному повреждению диаграммы.</a:t>
              </a:r>
            </a:p>
          </xdr:txBody>
        </xdr:sp>
      </mc:Fallback>
    </mc:AlternateContent>
    <xdr:clientData/>
  </xdr:twoCellAnchor>
  <xdr:twoCellAnchor>
    <xdr:from>
      <xdr:col>8</xdr:col>
      <xdr:colOff>166115</xdr:colOff>
      <xdr:row>165</xdr:row>
      <xdr:rowOff>92841</xdr:rowOff>
    </xdr:from>
    <xdr:to>
      <xdr:col>17</xdr:col>
      <xdr:colOff>663677</xdr:colOff>
      <xdr:row>182</xdr:row>
      <xdr:rowOff>46464</xdr:rowOff>
    </xdr:to>
    <xdr:graphicFrame macro="">
      <xdr:nvGraphicFramePr>
        <xdr:cNvPr id="9" name="Диаграмма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655674</xdr:colOff>
      <xdr:row>58</xdr:row>
      <xdr:rowOff>0</xdr:rowOff>
    </xdr:from>
    <xdr:to>
      <xdr:col>18</xdr:col>
      <xdr:colOff>88605</xdr:colOff>
      <xdr:row>75</xdr:row>
      <xdr:rowOff>150628</xdr:rowOff>
    </xdr:to>
    <mc:AlternateContent xmlns:mc="http://schemas.openxmlformats.org/markup-compatibility/2006">
      <mc:Choice xmlns:cx="http://schemas.microsoft.com/office/drawing/2014/chartex" Requires="cx">
        <xdr:graphicFrame macro="">
          <xdr:nvGraphicFramePr>
            <xdr:cNvPr id="12" name="Диаграмма 1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Эта диаграмма недоступна в вашей версии Excel.
Изменение этой фигуры или сохранение книги в другом формате приведет к остаточному повреждению диаграммы.</a:t>
              </a:r>
            </a:p>
          </xdr:txBody>
        </xdr:sp>
      </mc:Fallback>
    </mc:AlternateContent>
    <xdr:clientData/>
  </xdr:twoCellAnchor>
  <xdr:twoCellAnchor>
    <xdr:from>
      <xdr:col>0</xdr:col>
      <xdr:colOff>405925</xdr:colOff>
      <xdr:row>123</xdr:row>
      <xdr:rowOff>173765</xdr:rowOff>
    </xdr:from>
    <xdr:to>
      <xdr:col>15</xdr:col>
      <xdr:colOff>526990</xdr:colOff>
      <xdr:row>138</xdr:row>
      <xdr:rowOff>139582</xdr:rowOff>
    </xdr:to>
    <xdr:graphicFrame macro="">
      <xdr:nvGraphicFramePr>
        <xdr:cNvPr id="8" name="Диаграмма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327660</xdr:colOff>
          <xdr:row>4</xdr:row>
          <xdr:rowOff>152400</xdr:rowOff>
        </xdr:from>
        <xdr:to>
          <xdr:col>3</xdr:col>
          <xdr:colOff>30480</xdr:colOff>
          <xdr:row>5</xdr:row>
          <xdr:rowOff>175260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236220</xdr:colOff>
          <xdr:row>3</xdr:row>
          <xdr:rowOff>0</xdr:rowOff>
        </xdr:from>
        <xdr:to>
          <xdr:col>4</xdr:col>
          <xdr:colOff>533400</xdr:colOff>
          <xdr:row>4</xdr:row>
          <xdr:rowOff>7620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206</xdr:row>
          <xdr:rowOff>129540</xdr:rowOff>
        </xdr:from>
        <xdr:to>
          <xdr:col>3</xdr:col>
          <xdr:colOff>167640</xdr:colOff>
          <xdr:row>208</xdr:row>
          <xdr:rowOff>7620</xdr:rowOff>
        </xdr:to>
        <xdr:sp macro="" textlink="">
          <xdr:nvSpPr>
            <xdr:cNvPr id="4100" name="Drop Down 4" hidden="1">
              <a:extLst>
                <a:ext uri="{63B3BB69-23CF-44E3-9099-C40C66FF867C}">
                  <a14:compatExt spid="_x0000_s4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V45"/>
  <sheetViews>
    <sheetView showGridLines="0" topLeftCell="A8" zoomScale="99" zoomScaleNormal="99" workbookViewId="0">
      <selection activeCell="C29" sqref="C29"/>
    </sheetView>
  </sheetViews>
  <sheetFormatPr defaultRowHeight="14.4"/>
  <cols>
    <col min="1" max="1" width="9.77734375" customWidth="1"/>
  </cols>
  <sheetData>
    <row r="1" spans="2:22">
      <c r="B1" s="90"/>
      <c r="C1" s="90"/>
      <c r="D1" s="90"/>
      <c r="E1" s="90"/>
      <c r="F1" s="90"/>
      <c r="G1" s="90"/>
      <c r="H1" s="90"/>
      <c r="I1" s="90"/>
      <c r="J1" s="90"/>
      <c r="K1" s="90"/>
      <c r="L1" s="90"/>
      <c r="M1" s="90"/>
      <c r="N1" s="90"/>
      <c r="O1" s="90"/>
      <c r="P1" s="90"/>
      <c r="Q1" s="90"/>
      <c r="R1" s="90"/>
    </row>
    <row r="2" spans="2:22">
      <c r="B2" s="90"/>
      <c r="C2" s="90"/>
      <c r="D2" s="90"/>
      <c r="E2" s="90"/>
      <c r="F2" s="90"/>
      <c r="G2" s="90"/>
      <c r="H2" s="90"/>
      <c r="I2" s="90"/>
      <c r="J2" s="90"/>
      <c r="K2" s="90"/>
      <c r="L2" s="90"/>
      <c r="M2" s="90"/>
      <c r="N2" s="90"/>
      <c r="O2" s="90"/>
      <c r="P2" s="90"/>
      <c r="Q2" s="90"/>
      <c r="R2" s="90"/>
    </row>
    <row r="3" spans="2:22">
      <c r="B3" s="90"/>
      <c r="C3" s="90"/>
      <c r="D3" s="90"/>
      <c r="E3" s="90"/>
      <c r="F3" s="90"/>
      <c r="G3" s="90"/>
      <c r="H3" s="90"/>
      <c r="I3" s="90"/>
      <c r="J3" s="90"/>
      <c r="K3" s="90"/>
      <c r="L3" s="90"/>
      <c r="M3" s="90"/>
      <c r="N3" s="90"/>
      <c r="O3" s="90"/>
      <c r="P3" s="90"/>
      <c r="Q3" s="90"/>
      <c r="R3" s="90"/>
    </row>
    <row r="4" spans="2:22">
      <c r="B4" s="90"/>
      <c r="C4" s="90"/>
      <c r="D4" s="90"/>
      <c r="E4" s="90"/>
      <c r="F4" s="90"/>
      <c r="G4" s="90"/>
      <c r="H4" s="90"/>
      <c r="I4" s="90"/>
      <c r="J4" s="90"/>
      <c r="K4" s="90"/>
      <c r="L4" s="90"/>
      <c r="M4" s="90"/>
      <c r="N4" s="90"/>
      <c r="O4" s="90"/>
      <c r="P4" s="90"/>
      <c r="Q4" s="90"/>
      <c r="R4" s="90"/>
    </row>
    <row r="5" spans="2:22">
      <c r="B5" s="90"/>
      <c r="C5" s="90"/>
      <c r="D5" s="90"/>
      <c r="E5" s="90"/>
      <c r="F5" s="90"/>
      <c r="G5" s="90"/>
      <c r="H5" s="90"/>
      <c r="I5" s="90"/>
      <c r="J5" s="90"/>
      <c r="K5" s="90"/>
      <c r="L5" s="90"/>
      <c r="M5" s="90"/>
      <c r="N5" s="90"/>
      <c r="O5" s="90"/>
      <c r="P5" s="90"/>
      <c r="Q5" s="90"/>
      <c r="R5" s="90"/>
    </row>
    <row r="6" spans="2:22">
      <c r="B6" s="90"/>
      <c r="C6" s="90"/>
      <c r="D6" s="90"/>
      <c r="E6" s="90"/>
      <c r="F6" s="90"/>
      <c r="G6" s="90"/>
      <c r="H6" s="90"/>
      <c r="I6" s="90"/>
      <c r="J6" s="90"/>
      <c r="K6" s="90"/>
      <c r="L6" s="90"/>
      <c r="M6" s="90"/>
      <c r="N6" s="90"/>
      <c r="O6" s="90"/>
      <c r="P6" s="90"/>
      <c r="Q6" s="90"/>
      <c r="R6" s="90"/>
    </row>
    <row r="7" spans="2:22">
      <c r="B7" s="90"/>
      <c r="C7" s="90"/>
      <c r="D7" s="90"/>
      <c r="E7" s="90"/>
      <c r="F7" s="90"/>
      <c r="G7" s="90"/>
      <c r="H7" s="90"/>
      <c r="I7" s="90"/>
      <c r="J7" s="90"/>
      <c r="K7" s="90"/>
      <c r="L7" s="90"/>
      <c r="M7" s="182" t="s">
        <v>95</v>
      </c>
      <c r="N7" s="182"/>
      <c r="O7" s="182"/>
      <c r="P7" s="182"/>
      <c r="Q7" s="182"/>
      <c r="R7" s="182"/>
    </row>
    <row r="8" spans="2:22">
      <c r="B8" s="91"/>
      <c r="C8" s="91"/>
      <c r="D8" s="91"/>
      <c r="E8" s="91"/>
      <c r="F8" s="91"/>
      <c r="G8" s="91"/>
      <c r="H8" s="91"/>
      <c r="I8" s="91"/>
      <c r="J8" s="91"/>
      <c r="K8" s="91"/>
      <c r="L8" s="91"/>
      <c r="M8" s="91"/>
      <c r="N8" s="91"/>
      <c r="O8" s="91"/>
      <c r="P8" s="91"/>
      <c r="Q8" s="91"/>
      <c r="R8" s="91"/>
    </row>
    <row r="9" spans="2:22" ht="30">
      <c r="B9" s="91"/>
      <c r="C9" s="181" t="s">
        <v>94</v>
      </c>
      <c r="D9" s="181"/>
      <c r="E9" s="181"/>
      <c r="F9" s="181"/>
      <c r="G9" s="181"/>
      <c r="H9" s="181"/>
      <c r="I9" s="181"/>
      <c r="J9" s="181"/>
      <c r="K9" s="181"/>
      <c r="L9" s="181"/>
      <c r="M9" s="181"/>
      <c r="N9" s="181"/>
      <c r="O9" s="91"/>
      <c r="P9" s="91"/>
      <c r="Q9" s="91"/>
      <c r="R9" s="91"/>
    </row>
    <row r="10" spans="2:22">
      <c r="B10" s="91"/>
      <c r="C10" s="91"/>
      <c r="D10" s="91"/>
      <c r="E10" s="91"/>
      <c r="F10" s="91"/>
      <c r="G10" s="91"/>
      <c r="H10" s="91"/>
      <c r="I10" s="91"/>
      <c r="J10" s="91"/>
      <c r="K10" s="91"/>
      <c r="L10" s="91"/>
      <c r="M10" s="91"/>
      <c r="N10" s="91"/>
      <c r="O10" s="91"/>
      <c r="P10" s="91"/>
      <c r="Q10" s="91"/>
      <c r="R10" s="91"/>
      <c r="U10" s="62"/>
      <c r="V10" s="62"/>
    </row>
    <row r="11" spans="2:22">
      <c r="B11" s="91"/>
      <c r="C11" s="91"/>
      <c r="D11" s="91"/>
      <c r="E11" s="91"/>
      <c r="F11" s="91"/>
      <c r="G11" s="91"/>
      <c r="H11" s="91"/>
      <c r="I11" s="91"/>
      <c r="J11" s="91"/>
      <c r="K11" s="91"/>
      <c r="L11" s="91"/>
      <c r="M11" s="91"/>
      <c r="N11" s="91"/>
      <c r="O11" s="91"/>
      <c r="P11" s="91"/>
      <c r="Q11" s="91"/>
      <c r="R11" s="91"/>
      <c r="U11" s="62"/>
      <c r="V11" s="62"/>
    </row>
    <row r="12" spans="2:22">
      <c r="B12" s="91"/>
      <c r="C12" s="91"/>
      <c r="D12" s="91"/>
      <c r="E12" s="91"/>
      <c r="F12" s="91"/>
      <c r="G12" s="91"/>
      <c r="H12" s="91"/>
      <c r="I12" s="91"/>
      <c r="J12" s="91"/>
      <c r="K12" s="91"/>
      <c r="L12" s="91"/>
      <c r="M12" s="91"/>
      <c r="N12" s="91"/>
      <c r="O12" s="91"/>
      <c r="P12" s="91"/>
      <c r="Q12" s="91"/>
      <c r="R12" s="91"/>
    </row>
    <row r="13" spans="2:22">
      <c r="B13" s="91"/>
      <c r="C13" s="91"/>
      <c r="D13" s="91"/>
      <c r="E13" s="91"/>
      <c r="F13" s="91"/>
      <c r="G13" s="91"/>
      <c r="H13" s="91"/>
      <c r="I13" s="91"/>
      <c r="J13" s="91"/>
      <c r="K13" s="91"/>
      <c r="L13" s="91"/>
      <c r="M13" s="91"/>
      <c r="N13" s="91"/>
      <c r="O13" s="91"/>
      <c r="P13" s="91"/>
      <c r="Q13" s="91"/>
      <c r="R13" s="91"/>
    </row>
    <row r="14" spans="2:22">
      <c r="B14" s="91"/>
      <c r="C14" s="91"/>
      <c r="D14" s="91"/>
      <c r="E14" s="91"/>
      <c r="F14" s="91"/>
      <c r="G14" s="91"/>
      <c r="H14" s="91"/>
      <c r="I14" s="91"/>
      <c r="J14" s="91"/>
      <c r="K14" s="91"/>
      <c r="L14" s="91"/>
      <c r="M14" s="91"/>
      <c r="N14" s="91"/>
      <c r="O14" s="91"/>
      <c r="P14" s="91"/>
      <c r="Q14" s="91"/>
      <c r="R14" s="91"/>
    </row>
    <row r="15" spans="2:22">
      <c r="B15" s="91"/>
      <c r="C15" s="91"/>
      <c r="D15" s="91"/>
      <c r="E15" s="91"/>
      <c r="F15" s="91"/>
      <c r="G15" s="91"/>
      <c r="H15" s="91"/>
      <c r="I15" s="91"/>
      <c r="J15" s="91"/>
      <c r="K15" s="91"/>
      <c r="L15" s="91"/>
      <c r="M15" s="91"/>
      <c r="N15" s="91"/>
      <c r="O15" s="91"/>
      <c r="P15" s="91"/>
      <c r="Q15" s="91"/>
      <c r="R15" s="91"/>
    </row>
    <row r="16" spans="2:22">
      <c r="B16" s="91"/>
      <c r="C16" s="91"/>
      <c r="D16" s="91"/>
      <c r="E16" s="91"/>
      <c r="F16" s="91"/>
      <c r="G16" s="91"/>
      <c r="H16" s="91"/>
      <c r="I16" s="91"/>
      <c r="J16" s="91"/>
      <c r="K16" s="91"/>
      <c r="L16" s="91"/>
      <c r="M16" s="91"/>
      <c r="N16" s="91"/>
      <c r="O16" s="91"/>
      <c r="P16" s="91"/>
      <c r="Q16" s="91"/>
      <c r="R16" s="91"/>
    </row>
    <row r="17" spans="2:20">
      <c r="B17" s="91"/>
      <c r="C17" s="91"/>
      <c r="D17" s="91"/>
      <c r="E17" s="91"/>
      <c r="F17" s="91"/>
      <c r="G17" s="91"/>
      <c r="H17" s="91"/>
      <c r="I17" s="91"/>
      <c r="J17" s="91"/>
      <c r="K17" s="91"/>
      <c r="L17" s="91"/>
      <c r="M17" s="91"/>
      <c r="N17" s="91"/>
      <c r="O17" s="91"/>
      <c r="P17" s="91"/>
      <c r="Q17" s="91"/>
      <c r="R17" s="91"/>
    </row>
    <row r="18" spans="2:20">
      <c r="B18" s="91"/>
      <c r="C18" s="91"/>
      <c r="D18" s="91"/>
      <c r="E18" s="91"/>
      <c r="F18" s="91"/>
      <c r="G18" s="91"/>
      <c r="H18" s="91"/>
      <c r="I18" s="91"/>
      <c r="J18" s="91"/>
      <c r="K18" s="91"/>
      <c r="L18" s="91"/>
      <c r="M18" s="91"/>
      <c r="N18" s="91"/>
      <c r="O18" s="91"/>
      <c r="P18" s="91"/>
      <c r="Q18" s="91"/>
      <c r="R18" s="91"/>
    </row>
    <row r="19" spans="2:20" ht="25.2">
      <c r="B19" s="91"/>
      <c r="C19" s="91"/>
      <c r="D19" s="91"/>
      <c r="E19" s="91"/>
      <c r="F19" s="91"/>
      <c r="G19" s="91"/>
      <c r="H19" s="91"/>
      <c r="I19" s="91"/>
      <c r="J19" s="91"/>
      <c r="K19" s="91"/>
      <c r="L19" s="91"/>
      <c r="M19" s="93" t="s">
        <v>0</v>
      </c>
      <c r="N19" s="91"/>
      <c r="O19" s="91"/>
      <c r="P19" s="91"/>
      <c r="Q19" s="91"/>
      <c r="R19" s="91"/>
    </row>
    <row r="20" spans="2:20">
      <c r="B20" s="91"/>
      <c r="C20" s="91"/>
      <c r="D20" s="91"/>
      <c r="E20" s="91"/>
      <c r="F20" s="91"/>
      <c r="G20" s="91"/>
      <c r="H20" s="91"/>
      <c r="I20" s="91"/>
      <c r="J20" s="91"/>
      <c r="K20" s="91"/>
      <c r="L20" s="91"/>
      <c r="M20" s="91"/>
      <c r="N20" s="91"/>
      <c r="O20" s="91"/>
      <c r="P20" s="91"/>
      <c r="Q20" s="91"/>
      <c r="R20" s="91"/>
    </row>
    <row r="21" spans="2:20" ht="25.2">
      <c r="B21" s="91"/>
      <c r="C21" s="168" t="s">
        <v>1</v>
      </c>
      <c r="D21" s="169"/>
      <c r="E21" s="169"/>
      <c r="F21" s="91"/>
      <c r="G21" s="91"/>
      <c r="H21" s="91"/>
      <c r="I21" s="91"/>
      <c r="J21" s="91"/>
      <c r="K21" s="91"/>
      <c r="L21" s="91"/>
      <c r="M21" s="92" t="s">
        <v>93</v>
      </c>
      <c r="N21" s="92"/>
      <c r="O21" s="91"/>
      <c r="P21" s="91"/>
      <c r="Q21" s="94">
        <f ca="1">IF(ROUND(SUM(BalanceCheck), 2) =0,0,1)</f>
        <v>0</v>
      </c>
      <c r="R21" s="91"/>
    </row>
    <row r="22" spans="2:20" ht="23.4">
      <c r="B22" s="91"/>
      <c r="C22" s="170"/>
      <c r="D22" s="91"/>
      <c r="E22" s="171"/>
      <c r="F22" s="91"/>
      <c r="G22" s="91"/>
      <c r="H22" s="91"/>
      <c r="I22" s="91"/>
      <c r="J22" s="91"/>
      <c r="K22" s="91"/>
      <c r="L22" s="91"/>
      <c r="M22" s="91"/>
      <c r="N22" s="91"/>
      <c r="O22" s="91"/>
      <c r="P22" s="91"/>
      <c r="Q22" s="94"/>
      <c r="R22" s="91"/>
    </row>
    <row r="23" spans="2:20" ht="23.4">
      <c r="B23" s="91"/>
      <c r="C23" s="97" t="s">
        <v>2</v>
      </c>
      <c r="D23" s="91"/>
      <c r="E23" s="91"/>
      <c r="F23" s="91"/>
      <c r="G23" s="91"/>
      <c r="H23" s="91"/>
      <c r="I23" s="91"/>
      <c r="J23" s="91"/>
      <c r="K23" s="91"/>
      <c r="L23" s="91"/>
      <c r="M23" s="91"/>
      <c r="N23" s="91"/>
      <c r="O23" s="91"/>
      <c r="P23" s="91"/>
      <c r="Q23" s="91"/>
      <c r="R23" s="91"/>
    </row>
    <row r="24" spans="2:20" ht="23.4">
      <c r="B24" s="91"/>
      <c r="C24" s="97" t="s">
        <v>3</v>
      </c>
      <c r="D24" s="91"/>
      <c r="E24" s="91"/>
      <c r="F24" s="91"/>
      <c r="G24" s="91"/>
      <c r="H24" s="91"/>
      <c r="I24" s="91"/>
      <c r="J24" s="91"/>
      <c r="K24" s="91"/>
      <c r="L24" s="91"/>
      <c r="M24" s="91"/>
      <c r="N24" s="91"/>
      <c r="O24" s="91"/>
      <c r="P24" s="91"/>
      <c r="Q24" s="91"/>
      <c r="R24" s="91"/>
    </row>
    <row r="25" spans="2:20" ht="23.4">
      <c r="B25" s="91"/>
      <c r="C25" s="97" t="s">
        <v>4</v>
      </c>
      <c r="D25" s="91"/>
      <c r="E25" s="91"/>
      <c r="F25" s="91"/>
      <c r="G25" s="91"/>
      <c r="H25" s="91"/>
      <c r="I25" s="91"/>
      <c r="J25" s="91"/>
      <c r="K25" s="91"/>
      <c r="L25" s="91"/>
      <c r="M25" s="91"/>
      <c r="N25" s="91"/>
      <c r="O25" s="91"/>
      <c r="P25" s="91"/>
      <c r="Q25" s="91"/>
      <c r="R25" s="91"/>
      <c r="T25" s="172"/>
    </row>
    <row r="26" spans="2:20" ht="23.4">
      <c r="B26" s="91"/>
      <c r="C26" s="96"/>
      <c r="D26" s="91"/>
      <c r="E26" s="91"/>
      <c r="F26" s="91"/>
      <c r="G26" s="91"/>
      <c r="H26" s="91"/>
      <c r="I26" s="91"/>
      <c r="J26" s="91"/>
      <c r="K26" s="91"/>
      <c r="L26" s="91"/>
      <c r="M26" s="91"/>
      <c r="N26" s="91"/>
      <c r="O26" s="91"/>
      <c r="P26" s="91"/>
      <c r="Q26" s="91"/>
      <c r="R26" s="91"/>
      <c r="T26" s="173" t="s">
        <v>198</v>
      </c>
    </row>
    <row r="27" spans="2:20" ht="25.2">
      <c r="B27" s="91"/>
      <c r="C27" s="168" t="s">
        <v>197</v>
      </c>
      <c r="D27" s="169"/>
      <c r="E27" s="169"/>
      <c r="F27" s="91"/>
      <c r="G27" s="91"/>
      <c r="H27" s="91"/>
      <c r="I27" s="91"/>
      <c r="J27" s="91"/>
      <c r="K27" s="91"/>
      <c r="L27" s="91"/>
      <c r="M27" s="91"/>
      <c r="N27" s="91"/>
      <c r="O27" s="91"/>
      <c r="P27" s="91"/>
      <c r="Q27" s="94"/>
      <c r="R27" s="91"/>
      <c r="T27" s="174" t="s">
        <v>199</v>
      </c>
    </row>
    <row r="28" spans="2:20">
      <c r="B28" s="91"/>
      <c r="C28" s="91"/>
      <c r="D28" s="91"/>
      <c r="E28" s="91"/>
      <c r="F28" s="91"/>
      <c r="G28" s="91"/>
      <c r="H28" s="91"/>
      <c r="I28" s="91"/>
      <c r="J28" s="91"/>
      <c r="K28" s="91"/>
      <c r="L28" s="91"/>
      <c r="M28" s="91"/>
      <c r="N28" s="91"/>
      <c r="O28" s="91"/>
      <c r="P28" s="91"/>
      <c r="Q28" s="91"/>
      <c r="R28" s="91"/>
      <c r="T28" s="172"/>
    </row>
    <row r="29" spans="2:20" ht="23.4">
      <c r="B29" s="91"/>
      <c r="C29" s="92" t="s">
        <v>197</v>
      </c>
      <c r="D29" s="91"/>
      <c r="E29" s="91"/>
      <c r="F29" s="179">
        <v>1</v>
      </c>
      <c r="G29" s="91"/>
      <c r="H29" s="91"/>
      <c r="I29" s="91"/>
      <c r="J29" s="91"/>
      <c r="K29" s="91"/>
      <c r="L29" s="91"/>
      <c r="M29" s="91"/>
      <c r="N29" s="91"/>
      <c r="O29" s="91"/>
      <c r="P29" s="91"/>
      <c r="Q29" s="94"/>
      <c r="R29" s="91"/>
      <c r="T29" s="175" t="s">
        <v>200</v>
      </c>
    </row>
    <row r="30" spans="2:20" ht="23.4">
      <c r="B30" s="99"/>
      <c r="C30" s="100"/>
      <c r="D30" s="98"/>
      <c r="E30" s="98"/>
      <c r="F30" s="98"/>
      <c r="G30" s="98"/>
      <c r="H30" s="98"/>
      <c r="I30" s="98"/>
      <c r="J30" s="99"/>
      <c r="K30" s="99"/>
      <c r="L30" s="99"/>
      <c r="M30" s="99"/>
      <c r="N30" s="99"/>
      <c r="O30" s="99"/>
      <c r="P30" s="99"/>
      <c r="Q30" s="101"/>
      <c r="R30" s="99"/>
      <c r="T30" s="176" t="s">
        <v>201</v>
      </c>
    </row>
    <row r="31" spans="2:20">
      <c r="B31" s="99"/>
      <c r="C31" s="100"/>
      <c r="D31" s="98"/>
      <c r="E31" s="98"/>
      <c r="F31" s="98"/>
      <c r="G31" s="98"/>
      <c r="H31" s="98"/>
      <c r="I31" s="98"/>
      <c r="J31" s="99"/>
      <c r="K31" s="99"/>
      <c r="L31" s="99"/>
      <c r="M31" s="99"/>
      <c r="N31" s="99"/>
      <c r="O31" s="99"/>
      <c r="P31" s="99"/>
      <c r="Q31" s="99"/>
      <c r="R31" s="99"/>
      <c r="T31" s="177" t="s">
        <v>202</v>
      </c>
    </row>
    <row r="32" spans="2:20">
      <c r="B32" s="99"/>
      <c r="C32" s="100"/>
      <c r="D32" s="98"/>
      <c r="E32" s="98"/>
      <c r="F32" s="98"/>
      <c r="G32" s="98"/>
      <c r="H32" s="98"/>
      <c r="I32" s="98"/>
      <c r="J32" s="99"/>
      <c r="K32" s="99"/>
      <c r="L32" s="99"/>
      <c r="M32" s="99"/>
      <c r="N32" s="99"/>
      <c r="O32" s="99"/>
      <c r="P32" s="99"/>
      <c r="Q32" s="99"/>
      <c r="R32" s="99"/>
      <c r="T32" s="178"/>
    </row>
    <row r="33" spans="2:18" ht="23.4">
      <c r="B33" s="99"/>
      <c r="C33" s="100" t="s">
        <v>96</v>
      </c>
      <c r="D33" s="98"/>
      <c r="E33" s="98"/>
      <c r="F33" s="98"/>
      <c r="G33" s="98"/>
      <c r="H33" s="98"/>
      <c r="I33" s="99"/>
      <c r="J33" s="98"/>
      <c r="K33" s="99"/>
      <c r="L33" s="99"/>
      <c r="M33" s="99"/>
      <c r="N33" s="99"/>
      <c r="O33" s="99"/>
      <c r="P33" s="99"/>
      <c r="Q33" s="99"/>
      <c r="R33" s="101"/>
    </row>
    <row r="34" spans="2:18">
      <c r="B34" s="99"/>
      <c r="C34" s="100" t="s">
        <v>97</v>
      </c>
      <c r="D34" s="98"/>
      <c r="E34" s="98"/>
      <c r="F34" s="98"/>
      <c r="G34" s="98"/>
      <c r="H34" s="98"/>
      <c r="I34" s="99"/>
      <c r="J34" s="98"/>
      <c r="K34" s="99"/>
      <c r="L34" s="99"/>
      <c r="M34" s="99"/>
      <c r="N34" s="99"/>
      <c r="O34" s="99"/>
      <c r="P34" s="99"/>
      <c r="Q34" s="99"/>
      <c r="R34" s="99"/>
    </row>
    <row r="35" spans="2:18">
      <c r="B35" s="91"/>
      <c r="C35" s="100" t="s">
        <v>98</v>
      </c>
      <c r="D35" s="98"/>
      <c r="E35" s="98"/>
      <c r="F35" s="98"/>
      <c r="G35" s="98"/>
      <c r="H35" s="98"/>
      <c r="I35" s="99"/>
      <c r="J35" s="98"/>
      <c r="K35" s="99"/>
      <c r="L35" s="99"/>
      <c r="M35" s="99"/>
      <c r="N35" s="99"/>
      <c r="O35" s="99"/>
      <c r="P35" s="99"/>
      <c r="Q35" s="99"/>
      <c r="R35" s="99"/>
    </row>
    <row r="36" spans="2:18">
      <c r="B36" s="91"/>
      <c r="C36" s="100" t="s">
        <v>99</v>
      </c>
      <c r="D36" s="98"/>
      <c r="E36" s="98"/>
      <c r="F36" s="98"/>
      <c r="G36" s="98"/>
      <c r="H36" s="98"/>
      <c r="I36" s="99"/>
      <c r="J36" s="98"/>
      <c r="K36" s="99"/>
      <c r="L36" s="99"/>
      <c r="M36" s="99"/>
      <c r="N36" s="99"/>
      <c r="O36" s="99"/>
      <c r="P36" s="99"/>
      <c r="Q36" s="99"/>
      <c r="R36" s="99"/>
    </row>
    <row r="37" spans="2:18">
      <c r="B37" s="91"/>
      <c r="C37" s="99"/>
      <c r="D37" s="98"/>
      <c r="E37" s="98"/>
      <c r="F37" s="98"/>
      <c r="G37" s="98"/>
      <c r="H37" s="98"/>
      <c r="I37" s="98"/>
      <c r="J37" s="98"/>
      <c r="K37" s="99"/>
      <c r="L37" s="99"/>
      <c r="M37" s="99"/>
      <c r="N37" s="99"/>
      <c r="O37" s="99"/>
      <c r="P37" s="99"/>
      <c r="Q37" s="99"/>
      <c r="R37" s="99"/>
    </row>
    <row r="38" spans="2:18">
      <c r="B38" s="91"/>
      <c r="C38" s="91"/>
      <c r="D38" s="91"/>
      <c r="E38" s="91"/>
      <c r="F38" s="91"/>
      <c r="G38" s="91"/>
      <c r="H38" s="91"/>
      <c r="I38" s="91"/>
      <c r="J38" s="91"/>
      <c r="K38" s="91"/>
      <c r="L38" s="91"/>
      <c r="M38" s="91"/>
      <c r="N38" s="91"/>
      <c r="O38" s="91"/>
      <c r="P38" s="91"/>
      <c r="Q38" s="91"/>
      <c r="R38" s="91"/>
    </row>
    <row r="39" spans="2:18">
      <c r="B39" s="91"/>
      <c r="C39" s="91"/>
      <c r="D39" s="91"/>
      <c r="E39" s="91"/>
      <c r="F39" s="91"/>
      <c r="G39" s="91"/>
      <c r="H39" s="91"/>
      <c r="I39" s="91"/>
      <c r="J39" s="91"/>
      <c r="K39" s="91"/>
      <c r="L39" s="91"/>
      <c r="M39" s="91"/>
      <c r="N39" s="91"/>
      <c r="O39" s="91"/>
      <c r="P39" s="91"/>
      <c r="Q39" s="91"/>
      <c r="R39" s="91"/>
    </row>
    <row r="40" spans="2:18">
      <c r="B40" s="91"/>
      <c r="C40" s="91"/>
      <c r="D40" s="91"/>
      <c r="E40" s="91"/>
      <c r="F40" s="91"/>
      <c r="G40" s="91"/>
      <c r="H40" s="91"/>
      <c r="I40" s="91"/>
      <c r="J40" s="91"/>
      <c r="K40" s="91"/>
      <c r="L40" s="91"/>
      <c r="M40" s="91"/>
      <c r="N40" s="91"/>
      <c r="O40" s="91"/>
      <c r="P40" s="91"/>
      <c r="Q40" s="91"/>
      <c r="R40" s="91"/>
    </row>
    <row r="41" spans="2:18">
      <c r="B41" s="91"/>
      <c r="C41" s="91"/>
      <c r="D41" s="91"/>
      <c r="E41" s="91"/>
      <c r="F41" s="91"/>
      <c r="G41" s="91"/>
      <c r="H41" s="91"/>
      <c r="I41" s="91"/>
      <c r="J41" s="91"/>
      <c r="K41" s="91"/>
      <c r="L41" s="91"/>
      <c r="M41" s="91"/>
      <c r="N41" s="91"/>
      <c r="O41" s="91"/>
      <c r="P41" s="91"/>
      <c r="Q41" s="91"/>
      <c r="R41" s="91"/>
    </row>
    <row r="42" spans="2:18">
      <c r="B42" s="91"/>
      <c r="C42" s="91"/>
      <c r="D42" s="91"/>
      <c r="E42" s="91"/>
      <c r="F42" s="91"/>
      <c r="G42" s="91"/>
      <c r="H42" s="91"/>
      <c r="I42" s="91"/>
      <c r="J42" s="91"/>
      <c r="K42" s="91"/>
      <c r="L42" s="91"/>
      <c r="M42" s="91"/>
      <c r="N42" s="91"/>
      <c r="O42" s="91"/>
      <c r="P42" s="91"/>
      <c r="Q42" s="91"/>
      <c r="R42" s="91"/>
    </row>
    <row r="43" spans="2:18">
      <c r="B43" s="91"/>
      <c r="C43" s="91"/>
      <c r="D43" s="91"/>
      <c r="E43" s="91"/>
      <c r="F43" s="91"/>
      <c r="G43" s="91"/>
      <c r="H43" s="91"/>
      <c r="I43" s="91"/>
      <c r="J43" s="91"/>
      <c r="K43" s="91"/>
      <c r="L43" s="91"/>
      <c r="M43" s="91"/>
      <c r="N43" s="91"/>
      <c r="O43" s="91"/>
      <c r="P43" s="91"/>
      <c r="Q43" s="91"/>
      <c r="R43" s="91"/>
    </row>
    <row r="44" spans="2:18">
      <c r="B44" s="91"/>
      <c r="C44" s="91"/>
      <c r="D44" s="91"/>
      <c r="E44" s="91"/>
      <c r="F44" s="91"/>
      <c r="G44" s="91"/>
      <c r="H44" s="91"/>
      <c r="I44" s="91"/>
      <c r="J44" s="91"/>
      <c r="K44" s="91"/>
      <c r="L44" s="91"/>
      <c r="M44" s="91"/>
      <c r="N44" s="91"/>
      <c r="O44" s="91"/>
      <c r="P44" s="91"/>
      <c r="Q44" s="91"/>
      <c r="R44" s="91"/>
    </row>
    <row r="45" spans="2:18">
      <c r="B45" s="91"/>
      <c r="C45" s="91"/>
      <c r="D45" s="91"/>
      <c r="E45" s="91"/>
      <c r="F45" s="91"/>
      <c r="G45" s="91"/>
      <c r="H45" s="91"/>
      <c r="I45" s="91"/>
      <c r="J45" s="91"/>
      <c r="K45" s="91"/>
      <c r="L45" s="91"/>
      <c r="M45" s="91"/>
      <c r="N45" s="91"/>
      <c r="O45" s="91"/>
      <c r="P45" s="91"/>
      <c r="Q45" s="91"/>
      <c r="R45" s="91"/>
    </row>
  </sheetData>
  <mergeCells count="2">
    <mergeCell ref="C9:N9"/>
    <mergeCell ref="M7:R7"/>
  </mergeCells>
  <conditionalFormatting sqref="Q27">
    <cfRule type="expression" dxfId="2" priority="2">
      <formula>$Q$27=1</formula>
    </cfRule>
  </conditionalFormatting>
  <conditionalFormatting sqref="Q21">
    <cfRule type="expression" dxfId="1" priority="1">
      <formula>$Q$21=1</formula>
    </cfRule>
  </conditionalFormatting>
  <hyperlinks>
    <hyperlink ref="C23" location="Outputs!A1" display="Outputs"/>
    <hyperlink ref="C24" location="Inputs!A1" display="Inputs"/>
    <hyperlink ref="C25" location="Model!A1" display="Model"/>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Drop Down 1">
              <controlPr defaultSize="0" autoLine="0" autoPict="0">
                <anchor moveWithCells="1">
                  <from>
                    <xdr:col>5</xdr:col>
                    <xdr:colOff>205740</xdr:colOff>
                    <xdr:row>28</xdr:row>
                    <xdr:rowOff>106680</xdr:rowOff>
                  </from>
                  <to>
                    <xdr:col>6</xdr:col>
                    <xdr:colOff>441960</xdr:colOff>
                    <xdr:row>29</xdr:row>
                    <xdr:rowOff>68580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Worksheet____2"/>
  <dimension ref="A2:AF202"/>
  <sheetViews>
    <sheetView showGridLines="0" tabSelected="1" topLeftCell="B112" zoomScale="68" zoomScaleNormal="68" workbookViewId="0">
      <selection activeCell="AE124" sqref="AE124"/>
    </sheetView>
  </sheetViews>
  <sheetFormatPr defaultRowHeight="14.4" outlineLevelRow="1"/>
  <cols>
    <col min="1" max="1" width="9.77734375" customWidth="1"/>
    <col min="4" max="4" width="10.6640625" bestFit="1" customWidth="1"/>
    <col min="5" max="5" width="11.33203125" bestFit="1" customWidth="1"/>
    <col min="6" max="6" width="10.6640625" customWidth="1"/>
    <col min="7" max="7" width="11.6640625" customWidth="1"/>
    <col min="8" max="14" width="10.5546875" bestFit="1" customWidth="1"/>
    <col min="15" max="15" width="13" customWidth="1"/>
    <col min="16" max="16" width="10.5546875" bestFit="1" customWidth="1"/>
    <col min="17" max="17" width="10.109375" customWidth="1"/>
    <col min="18" max="24" width="10.5546875" bestFit="1" customWidth="1"/>
    <col min="25" max="26" width="10.5546875" customWidth="1"/>
    <col min="27" max="27" width="11.109375" customWidth="1"/>
    <col min="29" max="29" width="16.109375" customWidth="1"/>
  </cols>
  <sheetData>
    <row r="2" spans="1:32" s="27" customFormat="1" ht="18">
      <c r="A2" s="27" t="s">
        <v>5</v>
      </c>
      <c r="B2" s="19" t="s">
        <v>2</v>
      </c>
      <c r="C2" s="19"/>
      <c r="D2" s="18"/>
      <c r="E2" s="18"/>
      <c r="F2" s="18"/>
      <c r="G2" s="18"/>
      <c r="H2" s="18"/>
      <c r="I2" s="18"/>
      <c r="J2" s="18"/>
      <c r="K2" s="18"/>
      <c r="L2" s="18"/>
      <c r="M2" s="18"/>
      <c r="N2" s="18"/>
      <c r="O2" s="18"/>
      <c r="P2" s="18"/>
      <c r="Q2" s="18"/>
      <c r="R2" s="18"/>
      <c r="S2" s="40"/>
      <c r="T2" s="40"/>
      <c r="U2" s="40"/>
      <c r="V2" s="40"/>
      <c r="W2" s="40"/>
      <c r="X2" s="40"/>
      <c r="Y2" s="40"/>
      <c r="Z2" s="40"/>
      <c r="AA2" s="40"/>
    </row>
    <row r="4" spans="1:32">
      <c r="I4" s="20" t="s">
        <v>84</v>
      </c>
      <c r="Q4" s="64"/>
      <c r="R4" s="64"/>
      <c r="S4" s="64"/>
      <c r="T4" s="64"/>
      <c r="U4" s="83"/>
      <c r="V4" s="64"/>
      <c r="W4" s="64"/>
      <c r="X4" s="64"/>
    </row>
    <row r="5" spans="1:32">
      <c r="B5" s="17" t="s">
        <v>6</v>
      </c>
      <c r="D5">
        <f>Model!D4</f>
        <v>1</v>
      </c>
      <c r="Q5" s="64"/>
      <c r="R5" s="64"/>
      <c r="S5" s="64"/>
      <c r="T5" s="64"/>
      <c r="U5" s="64"/>
      <c r="V5" s="64"/>
      <c r="W5" s="64"/>
      <c r="X5" s="64"/>
    </row>
    <row r="6" spans="1:32">
      <c r="Q6" s="64"/>
      <c r="R6" s="64"/>
      <c r="S6" s="64"/>
      <c r="T6" s="64"/>
      <c r="U6" s="64"/>
      <c r="V6" s="64"/>
      <c r="W6" s="64"/>
      <c r="X6" s="81"/>
      <c r="Y6" s="81"/>
      <c r="Z6" s="81"/>
    </row>
    <row r="7" spans="1:32">
      <c r="Q7" s="66"/>
      <c r="R7" s="66"/>
      <c r="S7" s="66"/>
      <c r="T7" s="66"/>
      <c r="U7" s="66"/>
      <c r="V7" s="66"/>
      <c r="W7" s="64"/>
      <c r="X7" s="64"/>
    </row>
    <row r="8" spans="1:32" ht="15.6">
      <c r="B8" s="44" t="s">
        <v>7</v>
      </c>
      <c r="C8" s="44"/>
      <c r="D8" s="35"/>
      <c r="E8" s="35"/>
      <c r="F8" s="35"/>
      <c r="G8" s="61"/>
      <c r="H8" s="62"/>
      <c r="Q8" s="87"/>
      <c r="R8" s="87"/>
      <c r="S8" s="67"/>
      <c r="T8" s="67"/>
      <c r="U8" s="67"/>
      <c r="V8" s="66"/>
      <c r="W8" s="64"/>
      <c r="X8" s="64"/>
    </row>
    <row r="9" spans="1:32" ht="15.6">
      <c r="B9" s="156"/>
      <c r="C9" s="156"/>
      <c r="D9" s="37"/>
      <c r="E9" s="37"/>
      <c r="F9" s="37"/>
      <c r="G9" s="62"/>
      <c r="H9" s="62"/>
      <c r="Q9" s="87"/>
      <c r="R9" s="87"/>
      <c r="S9" s="67"/>
      <c r="T9" s="67"/>
      <c r="U9" s="67"/>
      <c r="V9" s="66"/>
      <c r="W9" s="64"/>
      <c r="X9" s="64"/>
    </row>
    <row r="10" spans="1:32" ht="15" thickBot="1">
      <c r="I10" s="30">
        <v>2019</v>
      </c>
      <c r="J10" s="30">
        <v>2020</v>
      </c>
      <c r="K10" s="30">
        <v>2021</v>
      </c>
      <c r="L10" s="30">
        <v>2022</v>
      </c>
      <c r="M10" s="30">
        <v>2023</v>
      </c>
      <c r="N10" s="30">
        <v>2024</v>
      </c>
      <c r="Q10" s="64"/>
      <c r="R10" s="64"/>
      <c r="S10" s="64"/>
      <c r="T10" s="64"/>
      <c r="U10" s="64"/>
      <c r="V10" s="64"/>
      <c r="W10" s="64"/>
      <c r="X10" s="64"/>
    </row>
    <row r="11" spans="1:32" ht="15" thickTop="1">
      <c r="Q11" s="64"/>
      <c r="R11" s="64"/>
      <c r="S11" s="64"/>
      <c r="T11" s="64"/>
      <c r="U11" s="64"/>
      <c r="V11" s="64"/>
      <c r="W11" s="64"/>
      <c r="X11" s="64"/>
    </row>
    <row r="12" spans="1:32" ht="15.6">
      <c r="B12" s="47" t="s">
        <v>8</v>
      </c>
      <c r="I12" s="28">
        <v>8000</v>
      </c>
      <c r="J12" s="28">
        <v>9200</v>
      </c>
      <c r="K12" s="28">
        <v>10500</v>
      </c>
      <c r="L12" s="28">
        <v>11900</v>
      </c>
      <c r="M12" s="41">
        <f>SUM(Model!D14:O14)</f>
        <v>13060.4</v>
      </c>
      <c r="N12" s="41">
        <f>SUM(Model!P14:AA14)</f>
        <v>12210.449999999999</v>
      </c>
      <c r="Q12" s="84"/>
      <c r="R12" s="64"/>
      <c r="S12" s="64"/>
      <c r="T12" s="64"/>
      <c r="U12" s="64"/>
      <c r="V12" s="64"/>
      <c r="W12" s="64"/>
      <c r="X12" s="85"/>
      <c r="Y12" s="41"/>
      <c r="Z12" s="41"/>
      <c r="AC12" s="47"/>
      <c r="AD12" s="28"/>
      <c r="AE12" s="28"/>
      <c r="AF12" s="41"/>
    </row>
    <row r="13" spans="1:32" ht="15.6">
      <c r="B13" s="47" t="s">
        <v>9</v>
      </c>
      <c r="I13" s="28">
        <v>7600</v>
      </c>
      <c r="J13" s="28">
        <v>9500</v>
      </c>
      <c r="K13" s="28">
        <v>11800</v>
      </c>
      <c r="L13" s="28">
        <v>16000</v>
      </c>
      <c r="M13" s="41">
        <f>-(SUM(Model!D20:O20)+SUM(Model!D15:O15))</f>
        <v>22104.239999999998</v>
      </c>
      <c r="N13" s="41">
        <f>-(SUM(Model!P20:AA20)+SUM(Model!P15:AA15))</f>
        <v>24798.269999999997</v>
      </c>
      <c r="Q13" s="84"/>
      <c r="R13" s="64"/>
      <c r="S13" s="64"/>
      <c r="T13" s="64"/>
      <c r="U13" s="64"/>
      <c r="V13" s="64"/>
      <c r="W13" s="64"/>
      <c r="X13" s="85"/>
      <c r="Y13" s="41"/>
      <c r="Z13" s="41"/>
      <c r="AC13" s="47"/>
      <c r="AD13" s="28"/>
      <c r="AE13" s="28"/>
      <c r="AF13" s="41"/>
    </row>
    <row r="14" spans="1:32" ht="15.6">
      <c r="B14" s="47" t="s">
        <v>10</v>
      </c>
      <c r="I14" s="41">
        <f>I12-I13</f>
        <v>400</v>
      </c>
      <c r="J14" s="41">
        <f t="shared" ref="J14:L14" si="0">J12-J13</f>
        <v>-300</v>
      </c>
      <c r="K14" s="41">
        <f t="shared" si="0"/>
        <v>-1300</v>
      </c>
      <c r="L14" s="41">
        <f t="shared" si="0"/>
        <v>-4100</v>
      </c>
      <c r="M14" s="41">
        <f ca="1">SUM(Model!D28:O28)-M15</f>
        <v>-10681.51524047199</v>
      </c>
      <c r="N14" s="41">
        <f ca="1">SUM(Model!P28:AA28)-N15</f>
        <v>-15880.689833682436</v>
      </c>
      <c r="Q14" s="86"/>
      <c r="R14" s="64"/>
      <c r="S14" s="64"/>
      <c r="T14" s="64"/>
      <c r="U14" s="64"/>
      <c r="V14" s="64"/>
      <c r="W14" s="64"/>
      <c r="X14" s="85"/>
      <c r="Y14" s="41"/>
      <c r="Z14" s="41"/>
      <c r="AC14" s="45"/>
      <c r="AD14" s="28"/>
      <c r="AE14" s="28"/>
      <c r="AF14" s="41"/>
    </row>
    <row r="15" spans="1:32" ht="15.6">
      <c r="B15" s="47" t="s">
        <v>103</v>
      </c>
      <c r="I15" s="28">
        <v>800</v>
      </c>
      <c r="J15" s="28">
        <v>900</v>
      </c>
      <c r="K15" s="28">
        <v>1000</v>
      </c>
      <c r="L15" s="28">
        <v>1100</v>
      </c>
      <c r="M15" s="41">
        <f>Inputs!D19</f>
        <v>1800</v>
      </c>
      <c r="N15" s="41">
        <f>Inputs!E19</f>
        <v>1200</v>
      </c>
      <c r="Q15" s="84"/>
      <c r="R15" s="64"/>
      <c r="S15" s="64"/>
      <c r="T15" s="64"/>
      <c r="U15" s="64"/>
      <c r="V15" s="64"/>
      <c r="W15" s="64"/>
      <c r="X15" s="85"/>
      <c r="Y15" s="41"/>
      <c r="Z15" s="41"/>
      <c r="AC15" s="47"/>
      <c r="AD15" s="28"/>
      <c r="AE15" s="28"/>
      <c r="AF15" s="41"/>
    </row>
    <row r="16" spans="1:32" ht="15.6">
      <c r="B16" s="47"/>
      <c r="Q16" s="86"/>
      <c r="R16" s="64"/>
      <c r="S16" s="64"/>
      <c r="T16" s="64"/>
      <c r="U16" s="64"/>
      <c r="V16" s="64"/>
      <c r="W16" s="64"/>
      <c r="X16" s="85"/>
      <c r="Y16" s="41"/>
      <c r="Z16" s="41"/>
      <c r="AC16" s="45"/>
      <c r="AD16" s="28"/>
      <c r="AE16" s="28"/>
      <c r="AF16" s="41"/>
    </row>
    <row r="17" spans="2:32" ht="15.6">
      <c r="Q17" s="84"/>
      <c r="R17" s="64"/>
      <c r="S17" s="64"/>
      <c r="T17" s="64"/>
      <c r="U17" s="64"/>
      <c r="V17" s="64"/>
      <c r="W17" s="64"/>
      <c r="X17" s="85"/>
      <c r="Y17" s="41"/>
      <c r="Z17" s="41"/>
      <c r="AC17" s="47"/>
      <c r="AD17" s="28"/>
      <c r="AE17" s="28"/>
      <c r="AF17" s="41"/>
    </row>
    <row r="18" spans="2:32" ht="15.6">
      <c r="Q18" s="86"/>
      <c r="R18" s="64"/>
      <c r="S18" s="64"/>
      <c r="T18" s="64"/>
      <c r="U18" s="64"/>
      <c r="V18" s="64"/>
      <c r="W18" s="64"/>
      <c r="X18" s="85"/>
      <c r="Y18" s="41"/>
      <c r="Z18" s="41"/>
      <c r="AC18" s="45"/>
      <c r="AD18" s="28"/>
      <c r="AE18" s="28"/>
      <c r="AF18" s="41"/>
    </row>
    <row r="19" spans="2:32">
      <c r="P19" s="66"/>
      <c r="Q19" s="66"/>
      <c r="R19" s="66"/>
      <c r="S19" s="66"/>
      <c r="T19" s="66"/>
      <c r="U19" s="66"/>
      <c r="V19" s="66"/>
      <c r="W19" s="64"/>
      <c r="X19" s="64"/>
    </row>
    <row r="20" spans="2:32" ht="15.6">
      <c r="B20" s="190" t="s">
        <v>59</v>
      </c>
      <c r="C20" s="190"/>
      <c r="D20" s="190"/>
      <c r="E20" s="190"/>
      <c r="F20" s="190"/>
      <c r="G20" s="190"/>
      <c r="J20" s="190" t="s">
        <v>104</v>
      </c>
      <c r="K20" s="190"/>
      <c r="L20" s="190"/>
      <c r="M20" s="190"/>
      <c r="N20" s="190"/>
      <c r="O20" s="190"/>
      <c r="P20" s="66"/>
      <c r="Q20" s="66"/>
      <c r="R20" s="186"/>
      <c r="S20" s="186"/>
      <c r="T20" s="186"/>
      <c r="U20" s="186"/>
      <c r="V20" s="186"/>
      <c r="W20" s="186"/>
      <c r="X20" s="186"/>
      <c r="Y20" s="82"/>
      <c r="Z20" s="82"/>
    </row>
    <row r="21" spans="2:32">
      <c r="P21" s="66"/>
      <c r="Q21" s="66"/>
      <c r="R21" s="66"/>
      <c r="S21" s="66"/>
      <c r="T21" s="66"/>
      <c r="U21" s="66"/>
      <c r="V21" s="66"/>
      <c r="W21" s="64"/>
      <c r="X21" s="64"/>
    </row>
    <row r="22" spans="2:32">
      <c r="P22" s="66"/>
      <c r="Q22" s="66"/>
      <c r="R22" s="66"/>
      <c r="S22" s="66"/>
      <c r="T22" s="66"/>
      <c r="U22" s="66"/>
      <c r="V22" s="66"/>
      <c r="W22" s="64"/>
      <c r="X22" s="64"/>
    </row>
    <row r="23" spans="2:32">
      <c r="P23" s="66"/>
      <c r="Q23" s="66"/>
      <c r="R23" s="66"/>
      <c r="S23" s="66"/>
      <c r="T23" s="66"/>
      <c r="U23" s="66"/>
      <c r="V23" s="66"/>
    </row>
    <row r="24" spans="2:32">
      <c r="P24" s="66"/>
      <c r="Q24" s="66"/>
      <c r="R24" s="66"/>
      <c r="S24" s="66"/>
      <c r="T24" s="66"/>
      <c r="U24" s="66"/>
      <c r="V24" s="66"/>
    </row>
    <row r="25" spans="2:32">
      <c r="P25" s="66"/>
      <c r="Q25" s="66"/>
      <c r="R25" s="66"/>
      <c r="S25" s="66"/>
      <c r="T25" s="66"/>
      <c r="U25" s="66"/>
      <c r="V25" s="66"/>
    </row>
    <row r="26" spans="2:32">
      <c r="P26" s="66"/>
      <c r="Q26" s="66"/>
      <c r="R26" s="66"/>
      <c r="S26" s="66"/>
      <c r="T26" s="66"/>
      <c r="U26" s="66"/>
      <c r="V26" s="66"/>
    </row>
    <row r="27" spans="2:32">
      <c r="P27" s="66"/>
      <c r="Q27" s="66"/>
      <c r="R27" s="66"/>
      <c r="S27" s="66"/>
      <c r="T27" s="66"/>
      <c r="U27" s="66"/>
      <c r="V27" s="66"/>
    </row>
    <row r="28" spans="2:32">
      <c r="P28" s="66"/>
      <c r="Q28" s="66"/>
      <c r="R28" s="66"/>
      <c r="S28" s="66"/>
      <c r="T28" s="66"/>
      <c r="U28" s="66"/>
      <c r="V28" s="66"/>
    </row>
    <row r="29" spans="2:32">
      <c r="P29" s="66"/>
      <c r="Q29" s="66"/>
      <c r="R29" s="66"/>
      <c r="S29" s="66"/>
      <c r="T29" s="66"/>
      <c r="U29" s="66"/>
      <c r="V29" s="66"/>
    </row>
    <row r="30" spans="2:32">
      <c r="P30" s="66"/>
      <c r="Q30" s="66"/>
      <c r="R30" s="66"/>
      <c r="S30" s="66"/>
      <c r="T30" s="66"/>
      <c r="U30" s="66"/>
      <c r="V30" s="66"/>
    </row>
    <row r="31" spans="2:32">
      <c r="P31" s="66"/>
      <c r="Q31" s="66"/>
      <c r="R31" s="66"/>
      <c r="S31" s="66"/>
      <c r="T31" s="66"/>
      <c r="U31" s="66"/>
      <c r="V31" s="66"/>
    </row>
    <row r="32" spans="2:32">
      <c r="P32" s="66"/>
      <c r="Q32" s="66"/>
      <c r="R32" s="66"/>
      <c r="S32" s="66"/>
      <c r="T32" s="66"/>
      <c r="U32" s="66"/>
      <c r="V32" s="66"/>
    </row>
    <row r="33" spans="2:22">
      <c r="P33" s="66"/>
      <c r="Q33" s="66"/>
      <c r="R33" s="66"/>
      <c r="S33" s="66"/>
      <c r="T33" s="66"/>
      <c r="U33" s="66"/>
      <c r="V33" s="66"/>
    </row>
    <row r="34" spans="2:22">
      <c r="P34" s="66"/>
      <c r="Q34" s="66"/>
      <c r="R34" s="66"/>
      <c r="S34" s="66"/>
      <c r="T34" s="66"/>
      <c r="U34" s="66"/>
      <c r="V34" s="66"/>
    </row>
    <row r="35" spans="2:22">
      <c r="P35" s="66"/>
      <c r="Q35" s="66"/>
      <c r="R35" s="66"/>
      <c r="S35" s="66"/>
      <c r="T35" s="66"/>
      <c r="U35" s="66"/>
      <c r="V35" s="66"/>
    </row>
    <row r="36" spans="2:22">
      <c r="P36" s="66"/>
      <c r="Q36" s="66"/>
      <c r="R36" s="66"/>
      <c r="S36" s="66"/>
      <c r="T36" s="66"/>
      <c r="U36" s="66"/>
      <c r="V36" s="66"/>
    </row>
    <row r="37" spans="2:22">
      <c r="P37" s="66"/>
      <c r="Q37" s="66"/>
      <c r="R37" s="66"/>
      <c r="S37" s="66"/>
      <c r="T37" s="66"/>
      <c r="U37" s="66"/>
      <c r="V37" s="66"/>
    </row>
    <row r="38" spans="2:22">
      <c r="P38" s="66"/>
      <c r="Q38" s="66"/>
      <c r="R38" s="66"/>
      <c r="S38" s="66"/>
      <c r="T38" s="66"/>
      <c r="U38" s="66"/>
      <c r="V38" s="66"/>
    </row>
    <row r="39" spans="2:22" ht="34.799999999999997" customHeight="1">
      <c r="B39" s="185" t="s">
        <v>183</v>
      </c>
      <c r="C39" s="185"/>
      <c r="D39" s="185"/>
      <c r="E39" s="185"/>
      <c r="F39" s="185"/>
      <c r="G39" s="185"/>
      <c r="H39" s="185"/>
      <c r="I39" s="185"/>
      <c r="J39" s="185"/>
      <c r="K39" s="185"/>
      <c r="L39" s="185"/>
      <c r="M39" s="185"/>
      <c r="N39" s="185"/>
      <c r="O39" s="185"/>
      <c r="P39" s="185"/>
      <c r="Q39" s="185"/>
      <c r="R39" s="185"/>
    </row>
    <row r="40" spans="2:22">
      <c r="P40" s="66"/>
      <c r="Q40" s="66"/>
      <c r="R40" s="66"/>
      <c r="S40" s="66"/>
      <c r="T40" s="66"/>
      <c r="U40" s="66"/>
      <c r="V40" s="66"/>
    </row>
    <row r="41" spans="2:22">
      <c r="P41" s="66"/>
      <c r="Q41" s="66"/>
      <c r="R41" s="66"/>
      <c r="S41" s="66"/>
      <c r="T41" s="66"/>
      <c r="U41" s="66"/>
      <c r="V41" s="66"/>
    </row>
    <row r="42" spans="2:22" ht="15.6">
      <c r="B42" s="44" t="s">
        <v>86</v>
      </c>
      <c r="C42" s="44"/>
      <c r="D42" s="35"/>
      <c r="E42" s="35"/>
      <c r="F42" s="35"/>
      <c r="G42" s="61"/>
      <c r="P42" s="66"/>
      <c r="Q42" s="66"/>
      <c r="R42" s="66"/>
      <c r="S42" s="66"/>
      <c r="T42" s="66"/>
      <c r="U42" s="66"/>
      <c r="V42" s="66"/>
    </row>
    <row r="43" spans="2:22" ht="15.6">
      <c r="B43" s="156"/>
      <c r="C43" s="156"/>
      <c r="D43" s="37"/>
      <c r="E43" s="37"/>
      <c r="F43" s="37"/>
      <c r="G43" s="62"/>
      <c r="P43" s="66"/>
      <c r="Q43" s="66"/>
      <c r="R43" s="66"/>
      <c r="S43" s="66"/>
      <c r="U43" s="66"/>
      <c r="V43" s="66"/>
    </row>
    <row r="44" spans="2:22" ht="15" thickBot="1">
      <c r="I44" s="30">
        <v>2024</v>
      </c>
      <c r="O44" s="30">
        <v>2024</v>
      </c>
      <c r="P44" s="66"/>
      <c r="Q44" s="66"/>
      <c r="R44" s="66"/>
      <c r="S44" s="66"/>
      <c r="T44" s="66"/>
      <c r="U44" s="66"/>
      <c r="V44" s="66"/>
    </row>
    <row r="45" spans="2:22" ht="15" thickTop="1">
      <c r="P45" s="66"/>
      <c r="Q45" s="66"/>
      <c r="R45" s="66"/>
      <c r="S45" s="66"/>
      <c r="T45" s="66"/>
      <c r="U45" s="66"/>
      <c r="V45" s="66"/>
    </row>
    <row r="46" spans="2:22" ht="15.6">
      <c r="B46" s="47" t="s">
        <v>8</v>
      </c>
      <c r="I46" s="102">
        <f>SUM(Model!$P$14:$AA$14)</f>
        <v>12210.449999999999</v>
      </c>
      <c r="K46" s="47" t="s">
        <v>81</v>
      </c>
      <c r="O46" s="102">
        <f ca="1">SUM(Model!P28:AA28)</f>
        <v>-14680.689833682436</v>
      </c>
      <c r="P46" s="66"/>
      <c r="Q46" s="66"/>
      <c r="R46" s="66"/>
      <c r="S46" s="66"/>
      <c r="T46" s="66"/>
      <c r="U46" s="66"/>
      <c r="V46" s="66"/>
    </row>
    <row r="47" spans="2:22" ht="15.6">
      <c r="B47" s="47" t="s">
        <v>57</v>
      </c>
      <c r="I47" s="102">
        <f>SUM(Model!$P$15:$AA$15)</f>
        <v>-7326.2699999999986</v>
      </c>
      <c r="K47" s="47" t="s">
        <v>45</v>
      </c>
      <c r="O47" s="102">
        <f>-SUM(Model!P23:AA23)</f>
        <v>500.00000000000006</v>
      </c>
      <c r="P47" s="66"/>
      <c r="Q47" s="66"/>
      <c r="R47" s="66"/>
      <c r="S47" s="66"/>
      <c r="T47" s="66"/>
      <c r="U47" s="66"/>
      <c r="V47" s="66"/>
    </row>
    <row r="48" spans="2:22" ht="15.6">
      <c r="B48" s="47" t="s">
        <v>82</v>
      </c>
      <c r="I48" s="102">
        <f>SUM(Model!$P$20:$AA$20)</f>
        <v>-17472</v>
      </c>
      <c r="K48" s="47" t="s">
        <v>87</v>
      </c>
      <c r="O48" s="102">
        <f>-SUM(Model!$P$104:$AA$104)</f>
        <v>610.52249999999992</v>
      </c>
      <c r="P48" s="66"/>
      <c r="Q48" s="66"/>
      <c r="R48" s="66"/>
      <c r="S48" s="66"/>
      <c r="T48" s="66"/>
      <c r="U48" s="66"/>
      <c r="V48" s="66"/>
    </row>
    <row r="49" spans="2:22" ht="15.6">
      <c r="B49" s="47" t="s">
        <v>83</v>
      </c>
      <c r="I49" s="102">
        <f>SUM(I46:I48)</f>
        <v>-12587.82</v>
      </c>
      <c r="K49" s="47" t="s">
        <v>88</v>
      </c>
      <c r="O49" s="102">
        <f>SUM(Model!$P$98:$AA$98)+SUM(Model!$P$99:$AA$99)+SUM(Model!$P$100:$AA$100)</f>
        <v>13.822602739726042</v>
      </c>
      <c r="P49" s="66"/>
      <c r="Q49" s="66"/>
      <c r="R49" s="66"/>
      <c r="S49" s="66"/>
      <c r="T49" s="66"/>
      <c r="U49" s="66"/>
      <c r="V49" s="66"/>
    </row>
    <row r="50" spans="2:22" ht="15.6">
      <c r="B50" s="36" t="s">
        <v>45</v>
      </c>
      <c r="I50" s="102">
        <f>SUM(Model!P23:AA23)</f>
        <v>-500.00000000000006</v>
      </c>
      <c r="K50" s="47" t="s">
        <v>103</v>
      </c>
      <c r="O50" s="102">
        <f>SUM(Model!$P$27:$AA$27)</f>
        <v>1200</v>
      </c>
      <c r="P50" s="66"/>
      <c r="Q50" s="66"/>
      <c r="R50" s="66"/>
      <c r="S50" s="66"/>
      <c r="T50" s="66"/>
      <c r="U50" s="66"/>
      <c r="V50" s="66"/>
    </row>
    <row r="51" spans="2:22" ht="15.6">
      <c r="B51" s="47" t="s">
        <v>79</v>
      </c>
      <c r="I51" s="102">
        <f>SUM(I49:I50)</f>
        <v>-13087.82</v>
      </c>
      <c r="K51" s="47" t="s">
        <v>89</v>
      </c>
      <c r="O51" s="102">
        <f ca="1">SUM(Model!P111:AA111)</f>
        <v>9012.2077986452859</v>
      </c>
      <c r="P51" s="66"/>
      <c r="Q51" s="66"/>
      <c r="R51" s="66"/>
      <c r="S51" s="66"/>
      <c r="T51" s="66"/>
      <c r="U51" s="66"/>
      <c r="V51" s="66"/>
    </row>
    <row r="52" spans="2:22" ht="15.6">
      <c r="B52" s="47" t="s">
        <v>80</v>
      </c>
      <c r="I52" s="102">
        <f ca="1">SUM(Model!P26:AA26)</f>
        <v>-2792.8698336824341</v>
      </c>
      <c r="K52" s="47" t="s">
        <v>91</v>
      </c>
      <c r="O52" s="102">
        <f ca="1">-SUM(Model!P110:AA110)</f>
        <v>941.09825808324092</v>
      </c>
      <c r="P52" s="66"/>
      <c r="Q52" s="66"/>
      <c r="R52" s="66"/>
      <c r="S52" s="66"/>
      <c r="T52" s="66"/>
      <c r="U52" s="66"/>
      <c r="V52" s="66"/>
    </row>
    <row r="53" spans="2:22" ht="15.6">
      <c r="B53" s="153" t="s">
        <v>81</v>
      </c>
      <c r="C53" s="155"/>
      <c r="D53" s="154"/>
      <c r="E53" s="154"/>
      <c r="F53" s="154"/>
      <c r="G53" s="154"/>
      <c r="H53" s="154"/>
      <c r="I53" s="143">
        <f ca="1">SUM(I51:I52)</f>
        <v>-15880.689833682434</v>
      </c>
      <c r="K53" s="153" t="s">
        <v>176</v>
      </c>
      <c r="L53" s="154"/>
      <c r="M53" s="154"/>
      <c r="N53" s="154"/>
      <c r="O53" s="143">
        <f ca="1">$O$46+$O$47-$O$48+$O$49+$O$50+$O$51-$O$52</f>
        <v>-5506.280190380663</v>
      </c>
      <c r="P53" s="66"/>
      <c r="Q53" s="66"/>
      <c r="R53" s="66"/>
      <c r="S53" s="66"/>
      <c r="T53" s="66"/>
      <c r="U53" s="66"/>
      <c r="V53" s="66"/>
    </row>
    <row r="54" spans="2:22" ht="15.6">
      <c r="B54" s="153"/>
      <c r="C54" s="155"/>
      <c r="D54" s="154"/>
      <c r="E54" s="154"/>
      <c r="F54" s="154"/>
      <c r="G54" s="154"/>
      <c r="H54" s="154"/>
      <c r="I54" s="143"/>
      <c r="K54" s="153"/>
      <c r="L54" s="154"/>
      <c r="M54" s="154"/>
      <c r="N54" s="154"/>
      <c r="O54" s="143"/>
      <c r="P54" s="41"/>
      <c r="Q54" s="150"/>
      <c r="R54" s="66"/>
      <c r="S54" s="66"/>
      <c r="T54" s="66"/>
      <c r="U54" s="66"/>
      <c r="V54" s="66"/>
    </row>
    <row r="55" spans="2:22" ht="15.6">
      <c r="K55" s="47"/>
      <c r="O55" s="41"/>
      <c r="Q55" s="41"/>
      <c r="R55" s="66"/>
      <c r="S55" s="66"/>
      <c r="T55" s="66"/>
      <c r="U55" s="66"/>
      <c r="V55" s="66"/>
    </row>
    <row r="56" spans="2:22">
      <c r="P56" s="66"/>
      <c r="Q56" s="66"/>
      <c r="R56" s="66"/>
      <c r="S56" s="66"/>
      <c r="T56" s="66"/>
      <c r="U56" s="66"/>
      <c r="V56" s="66"/>
    </row>
    <row r="57" spans="2:22">
      <c r="B57" s="189" t="s">
        <v>85</v>
      </c>
      <c r="C57" s="189"/>
      <c r="D57" s="189"/>
      <c r="E57" s="189"/>
      <c r="F57" s="189"/>
      <c r="G57" s="189"/>
      <c r="H57" s="189"/>
      <c r="I57" s="88"/>
      <c r="J57" s="88"/>
      <c r="K57" s="88"/>
      <c r="L57" s="189" t="s">
        <v>177</v>
      </c>
      <c r="M57" s="189"/>
      <c r="N57" s="189"/>
      <c r="O57" s="189"/>
      <c r="P57" s="189"/>
      <c r="Q57" s="189"/>
      <c r="R57" s="189"/>
      <c r="S57" s="66"/>
      <c r="T57" s="66"/>
      <c r="U57" s="66"/>
      <c r="V57" s="66"/>
    </row>
    <row r="58" spans="2:22">
      <c r="P58" s="66"/>
      <c r="Q58" s="66"/>
      <c r="R58" s="66"/>
      <c r="S58" s="66"/>
      <c r="T58" s="66"/>
      <c r="U58" s="66"/>
      <c r="V58" s="66"/>
    </row>
    <row r="59" spans="2:22">
      <c r="P59" s="66"/>
      <c r="Q59" s="66"/>
      <c r="R59" s="66"/>
      <c r="S59" s="66"/>
      <c r="T59" s="66"/>
      <c r="U59" s="66"/>
      <c r="V59" s="66"/>
    </row>
    <row r="60" spans="2:22">
      <c r="P60" s="66"/>
      <c r="Q60" s="66"/>
      <c r="R60" s="66"/>
      <c r="S60" s="66"/>
      <c r="T60" s="66"/>
      <c r="U60" s="66"/>
      <c r="V60" s="66"/>
    </row>
    <row r="61" spans="2:22">
      <c r="P61" s="66"/>
      <c r="Q61" s="66"/>
      <c r="R61" s="66"/>
      <c r="S61" s="66"/>
      <c r="T61" s="66"/>
      <c r="U61" s="66"/>
      <c r="V61" s="66"/>
    </row>
    <row r="62" spans="2:22">
      <c r="P62" s="66"/>
      <c r="Q62" s="66"/>
      <c r="R62" s="66"/>
      <c r="S62" s="66"/>
      <c r="T62" s="66"/>
      <c r="U62" s="66"/>
      <c r="V62" s="66"/>
    </row>
    <row r="63" spans="2:22">
      <c r="P63" s="66"/>
      <c r="Q63" s="66"/>
      <c r="R63" s="66"/>
      <c r="S63" s="66"/>
      <c r="T63" s="66"/>
      <c r="U63" s="66"/>
      <c r="V63" s="66"/>
    </row>
    <row r="64" spans="2:22">
      <c r="P64" s="66"/>
      <c r="Q64" s="66"/>
      <c r="R64" s="66"/>
      <c r="S64" s="66"/>
      <c r="T64" s="66"/>
      <c r="U64" s="66"/>
      <c r="V64" s="66"/>
    </row>
    <row r="65" spans="2:22">
      <c r="P65" s="66"/>
      <c r="Q65" s="66"/>
      <c r="R65" s="66"/>
      <c r="S65" s="66"/>
      <c r="T65" s="66"/>
      <c r="U65" s="66"/>
      <c r="V65" s="66"/>
    </row>
    <row r="66" spans="2:22">
      <c r="P66" s="66"/>
      <c r="Q66" s="66"/>
      <c r="R66" s="66"/>
      <c r="S66" s="66"/>
      <c r="T66" s="66"/>
      <c r="U66" s="66"/>
      <c r="V66" s="66"/>
    </row>
    <row r="67" spans="2:22">
      <c r="P67" s="66"/>
      <c r="Q67" s="66"/>
      <c r="R67" s="66"/>
      <c r="S67" s="66"/>
      <c r="T67" s="66"/>
      <c r="U67" s="66"/>
      <c r="V67" s="66"/>
    </row>
    <row r="68" spans="2:22">
      <c r="P68" s="66"/>
      <c r="Q68" s="66"/>
      <c r="R68" s="66"/>
      <c r="S68" s="66"/>
      <c r="T68" s="66"/>
      <c r="U68" s="66"/>
      <c r="V68" s="66"/>
    </row>
    <row r="69" spans="2:22">
      <c r="P69" s="66"/>
      <c r="Q69" s="66"/>
      <c r="R69" s="66"/>
      <c r="S69" s="66"/>
      <c r="T69" s="66"/>
      <c r="U69" s="66"/>
      <c r="V69" s="66"/>
    </row>
    <row r="70" spans="2:22">
      <c r="P70" s="66"/>
      <c r="Q70" s="66"/>
      <c r="R70" s="66"/>
      <c r="S70" s="66"/>
      <c r="T70" s="66"/>
      <c r="U70" s="66"/>
      <c r="V70" s="66"/>
    </row>
    <row r="71" spans="2:22">
      <c r="P71" s="66"/>
      <c r="Q71" s="66"/>
      <c r="R71" s="66"/>
      <c r="S71" s="66"/>
      <c r="T71" s="66"/>
      <c r="U71" s="66"/>
      <c r="V71" s="66"/>
    </row>
    <row r="72" spans="2:22">
      <c r="P72" s="66"/>
      <c r="Q72" s="66"/>
      <c r="R72" s="66"/>
      <c r="S72" s="66"/>
      <c r="T72" s="66"/>
      <c r="U72" s="66"/>
      <c r="V72" s="66"/>
    </row>
    <row r="73" spans="2:22">
      <c r="P73" s="66"/>
      <c r="Q73" s="66"/>
      <c r="R73" s="66"/>
      <c r="S73" s="66"/>
      <c r="T73" s="66"/>
      <c r="U73" s="66"/>
      <c r="V73" s="66"/>
    </row>
    <row r="74" spans="2:22">
      <c r="P74" s="66"/>
      <c r="Q74" s="66"/>
      <c r="R74" s="66"/>
      <c r="S74" s="66"/>
      <c r="T74" s="66"/>
      <c r="U74" s="66"/>
      <c r="V74" s="66"/>
    </row>
    <row r="75" spans="2:22">
      <c r="P75" s="66"/>
      <c r="Q75" s="66"/>
      <c r="R75" s="66"/>
      <c r="S75" s="66"/>
      <c r="T75" s="66"/>
      <c r="U75" s="66"/>
      <c r="V75" s="66"/>
    </row>
    <row r="76" spans="2:22">
      <c r="P76" s="66"/>
      <c r="Q76" s="66"/>
      <c r="R76" s="66"/>
      <c r="S76" s="66"/>
      <c r="T76" s="66"/>
      <c r="U76" s="66"/>
      <c r="V76" s="66"/>
    </row>
    <row r="77" spans="2:22">
      <c r="P77" s="66"/>
      <c r="Q77" s="66"/>
      <c r="R77" s="66"/>
      <c r="S77" s="66"/>
      <c r="T77" s="66"/>
      <c r="U77" s="66"/>
      <c r="V77" s="66"/>
    </row>
    <row r="78" spans="2:22">
      <c r="P78" s="66"/>
      <c r="Q78" s="66"/>
      <c r="R78" s="66"/>
      <c r="S78" s="66"/>
      <c r="T78" s="66"/>
      <c r="U78" s="66"/>
      <c r="V78" s="66"/>
    </row>
    <row r="79" spans="2:22">
      <c r="P79" s="66"/>
      <c r="Q79" s="66"/>
      <c r="R79" s="66"/>
      <c r="S79" s="66"/>
      <c r="T79" s="66"/>
      <c r="U79" s="66"/>
      <c r="V79" s="66"/>
    </row>
    <row r="80" spans="2:22" ht="27" customHeight="1" outlineLevel="1">
      <c r="B80" s="185" t="s">
        <v>203</v>
      </c>
      <c r="C80" s="185"/>
      <c r="D80" s="185"/>
      <c r="E80" s="185"/>
      <c r="F80" s="185"/>
      <c r="G80" s="185"/>
      <c r="H80" s="185"/>
      <c r="I80" s="185"/>
      <c r="J80" s="185"/>
      <c r="K80" s="185"/>
      <c r="L80" s="185"/>
      <c r="M80" s="185"/>
      <c r="N80" s="185"/>
      <c r="O80" s="185"/>
      <c r="P80" s="185"/>
      <c r="Q80" s="185"/>
      <c r="R80" s="185"/>
    </row>
    <row r="81" spans="2:27" ht="19.2" customHeight="1">
      <c r="B81" s="159"/>
      <c r="C81" s="159"/>
      <c r="D81" s="159"/>
      <c r="E81" s="159"/>
      <c r="F81" s="159"/>
      <c r="G81" s="159"/>
      <c r="H81" s="159"/>
      <c r="I81" s="159"/>
      <c r="J81" s="159"/>
      <c r="K81" s="159"/>
      <c r="L81" s="159"/>
      <c r="M81" s="159"/>
      <c r="N81" s="159"/>
      <c r="O81" s="159"/>
      <c r="P81" s="159"/>
    </row>
    <row r="82" spans="2:27">
      <c r="P82" s="66"/>
      <c r="Q82" s="66"/>
      <c r="R82" s="66"/>
      <c r="S82" s="66"/>
      <c r="T82" s="66"/>
      <c r="U82" s="66"/>
      <c r="V82" s="66"/>
    </row>
    <row r="83" spans="2:27" ht="15.6">
      <c r="B83" s="158" t="s">
        <v>184</v>
      </c>
      <c r="C83" s="158"/>
      <c r="D83" s="158"/>
      <c r="E83" s="158"/>
      <c r="F83" s="158"/>
      <c r="G83" s="158"/>
      <c r="P83" s="66"/>
      <c r="Q83" s="66"/>
      <c r="R83" s="66"/>
      <c r="S83" s="66"/>
      <c r="T83" s="66"/>
      <c r="U83" s="66"/>
      <c r="V83" s="66"/>
    </row>
    <row r="84" spans="2:27">
      <c r="P84" s="66"/>
      <c r="Q84" s="66"/>
      <c r="R84" s="66"/>
      <c r="S84" s="66"/>
      <c r="T84" s="66"/>
      <c r="U84" s="66"/>
      <c r="V84" s="66"/>
    </row>
    <row r="85" spans="2:27" s="23" customFormat="1" ht="15" thickBot="1">
      <c r="D85" s="78">
        <f>Model!D8</f>
        <v>44927</v>
      </c>
      <c r="E85" s="78">
        <f>Model!E8</f>
        <v>44958</v>
      </c>
      <c r="F85" s="78">
        <f>Model!F8</f>
        <v>44986</v>
      </c>
      <c r="G85" s="78">
        <f>Model!G8</f>
        <v>45017</v>
      </c>
      <c r="H85" s="78">
        <f>Model!H8</f>
        <v>45047</v>
      </c>
      <c r="I85" s="78">
        <f>Model!I8</f>
        <v>45078</v>
      </c>
      <c r="J85" s="78">
        <f>Model!J8</f>
        <v>45108</v>
      </c>
      <c r="K85" s="78">
        <f>Model!K8</f>
        <v>45139</v>
      </c>
      <c r="L85" s="78">
        <f>Model!L8</f>
        <v>45170</v>
      </c>
      <c r="M85" s="78">
        <f>Model!M8</f>
        <v>45200</v>
      </c>
      <c r="N85" s="78">
        <f>Model!N8</f>
        <v>45231</v>
      </c>
      <c r="O85" s="78">
        <f>Model!O8</f>
        <v>45261</v>
      </c>
      <c r="P85" s="78">
        <f>Model!P8</f>
        <v>45292</v>
      </c>
      <c r="Q85" s="78">
        <f>Model!Q8</f>
        <v>45323</v>
      </c>
      <c r="R85" s="78">
        <f>Model!R8</f>
        <v>45352</v>
      </c>
      <c r="S85" s="78">
        <f>Model!S8</f>
        <v>45383</v>
      </c>
      <c r="T85" s="78">
        <f>Model!T8</f>
        <v>45413</v>
      </c>
      <c r="U85" s="78">
        <f>Model!U8</f>
        <v>45444</v>
      </c>
      <c r="V85" s="78">
        <f>Model!V8</f>
        <v>45474</v>
      </c>
      <c r="W85" s="78">
        <f>Model!W8</f>
        <v>45505</v>
      </c>
      <c r="X85" s="78">
        <f>Model!X8</f>
        <v>45536</v>
      </c>
      <c r="Y85" s="78">
        <f>Model!Y8</f>
        <v>45566</v>
      </c>
      <c r="Z85" s="78">
        <f>Model!Z8</f>
        <v>45597</v>
      </c>
      <c r="AA85" s="78">
        <f>Model!AA8</f>
        <v>45627</v>
      </c>
    </row>
    <row r="86" spans="2:27" s="2" customFormat="1" ht="15" thickTop="1">
      <c r="D86" s="76"/>
      <c r="E86" s="76"/>
      <c r="F86" s="76"/>
      <c r="G86" s="76"/>
      <c r="H86" s="76"/>
      <c r="I86" s="76"/>
      <c r="J86" s="76"/>
      <c r="K86" s="76"/>
      <c r="L86" s="76"/>
      <c r="M86" s="76"/>
      <c r="N86" s="76"/>
      <c r="O86" s="76"/>
      <c r="P86" s="77"/>
      <c r="Q86" s="77"/>
      <c r="R86" s="77"/>
      <c r="S86" s="77"/>
      <c r="T86" s="77"/>
      <c r="U86" s="77"/>
      <c r="V86" s="77"/>
      <c r="W86" s="76"/>
      <c r="X86" s="76"/>
      <c r="Y86" s="76"/>
      <c r="Z86" s="76"/>
      <c r="AA86" s="76"/>
    </row>
    <row r="87" spans="2:27" s="2" customFormat="1" ht="15.6">
      <c r="B87" s="47" t="s">
        <v>49</v>
      </c>
      <c r="D87" s="102">
        <v>500</v>
      </c>
      <c r="E87" s="102">
        <f ca="1">Model!E117</f>
        <v>499.99999999999989</v>
      </c>
      <c r="F87" s="102">
        <f ca="1">Model!F117</f>
        <v>499.99999999999989</v>
      </c>
      <c r="G87" s="102">
        <f ca="1">Model!G117</f>
        <v>499.99999999999989</v>
      </c>
      <c r="H87" s="102">
        <f ca="1">Model!H117</f>
        <v>499.99999999999989</v>
      </c>
      <c r="I87" s="102">
        <f ca="1">Model!I117</f>
        <v>499.99999999999989</v>
      </c>
      <c r="J87" s="102">
        <f ca="1">Model!J117</f>
        <v>499.99999999999989</v>
      </c>
      <c r="K87" s="102">
        <f ca="1">Model!K117</f>
        <v>499.99999999999989</v>
      </c>
      <c r="L87" s="102">
        <f ca="1">Model!L117</f>
        <v>499.99999999999989</v>
      </c>
      <c r="M87" s="102">
        <f ca="1">Model!M117</f>
        <v>499.99999999999989</v>
      </c>
      <c r="N87" s="102">
        <f ca="1">Model!N117</f>
        <v>499.99999999999989</v>
      </c>
      <c r="O87" s="102">
        <f ca="1">Model!O117</f>
        <v>499.99999999999989</v>
      </c>
      <c r="P87" s="102">
        <f ca="1">Model!P117</f>
        <v>499.99999999999989</v>
      </c>
      <c r="Q87" s="102">
        <f ca="1">Model!Q117</f>
        <v>499.99999999999989</v>
      </c>
      <c r="R87" s="102">
        <f ca="1">Model!R117</f>
        <v>499.99999999999989</v>
      </c>
      <c r="S87" s="102">
        <f ca="1">Model!S117</f>
        <v>499.99999999999989</v>
      </c>
      <c r="T87" s="102">
        <f ca="1">Model!T117</f>
        <v>499.99999999999989</v>
      </c>
      <c r="U87" s="102">
        <f ca="1">Model!U117</f>
        <v>499.99999999999989</v>
      </c>
      <c r="V87" s="102">
        <f ca="1">Model!V117</f>
        <v>499.99999999999989</v>
      </c>
      <c r="W87" s="102">
        <f ca="1">Model!W117</f>
        <v>-384.30549540854429</v>
      </c>
      <c r="X87" s="102">
        <f ca="1">Model!X117</f>
        <v>-1800.3140578502048</v>
      </c>
      <c r="Y87" s="102">
        <f ca="1">Model!Y117</f>
        <v>-3244.2276202918647</v>
      </c>
      <c r="Z87" s="102">
        <f ca="1">Model!Z117</f>
        <v>-4713.0776553362648</v>
      </c>
      <c r="AA87" s="102">
        <f ca="1">Model!AA117</f>
        <v>-6206.2801903806649</v>
      </c>
    </row>
    <row r="88" spans="2:27" ht="15.6">
      <c r="B88" s="47" t="s">
        <v>60</v>
      </c>
      <c r="D88" s="102">
        <f ca="1">Model!D201</f>
        <v>1748.7362679211119</v>
      </c>
      <c r="E88" s="102">
        <f ca="1">Model!E201</f>
        <v>2471.6504810477036</v>
      </c>
      <c r="F88" s="102">
        <f ca="1">Model!F201</f>
        <v>3215.8546941742952</v>
      </c>
      <c r="G88" s="102">
        <f ca="1">Model!G201</f>
        <v>3983.3489073008868</v>
      </c>
      <c r="H88" s="102">
        <f ca="1">Model!H201</f>
        <v>4774.1331204274784</v>
      </c>
      <c r="I88" s="102">
        <f ca="1">Model!I201</f>
        <v>5588.2073335540699</v>
      </c>
      <c r="J88" s="102">
        <f ca="1">Model!J201</f>
        <v>6425.5715466806614</v>
      </c>
      <c r="K88" s="102">
        <f ca="1">Model!K201</f>
        <v>7286.2257598072529</v>
      </c>
      <c r="L88" s="102">
        <f ca="1">Model!L201</f>
        <v>8172.1699729338443</v>
      </c>
      <c r="M88" s="102">
        <f ca="1">Model!M201</f>
        <v>9081.4041860604357</v>
      </c>
      <c r="N88" s="102">
        <f ca="1">Model!N201</f>
        <v>10015.928399187027</v>
      </c>
      <c r="O88" s="102">
        <f ca="1">Model!O201</f>
        <v>10987.792201354714</v>
      </c>
      <c r="P88" s="102">
        <f ca="1">Model!P201</f>
        <v>12075.585558316921</v>
      </c>
      <c r="Q88" s="102">
        <f ca="1">Model!Q201</f>
        <v>13204.259120758581</v>
      </c>
      <c r="R88" s="102">
        <f ca="1">Model!R201</f>
        <v>14376.837683200241</v>
      </c>
      <c r="S88" s="102">
        <f ca="1">Model!S201</f>
        <v>15591.321245641902</v>
      </c>
      <c r="T88" s="102">
        <f ca="1">Model!T201</f>
        <v>16849.709808083564</v>
      </c>
      <c r="U88" s="102">
        <f ca="1">Model!U201</f>
        <v>18152.003370525224</v>
      </c>
      <c r="V88" s="102">
        <f ca="1">Model!V201</f>
        <v>19498.201932966884</v>
      </c>
      <c r="W88" s="102">
        <f ca="1">Model!W201</f>
        <v>20000</v>
      </c>
      <c r="X88" s="102">
        <f ca="1">Model!X201</f>
        <v>20000</v>
      </c>
      <c r="Y88" s="102">
        <f ca="1">Model!Y201</f>
        <v>20000</v>
      </c>
      <c r="Z88" s="102">
        <f ca="1">Model!Z201</f>
        <v>20000</v>
      </c>
      <c r="AA88" s="102">
        <f ca="1">Model!AA201</f>
        <v>20000</v>
      </c>
    </row>
    <row r="89" spans="2:27" ht="15.6">
      <c r="B89" s="47" t="s">
        <v>69</v>
      </c>
      <c r="D89" s="102">
        <v>500</v>
      </c>
      <c r="E89" s="102">
        <v>500</v>
      </c>
      <c r="F89" s="102">
        <v>500</v>
      </c>
      <c r="G89" s="102">
        <v>500</v>
      </c>
      <c r="H89" s="102">
        <v>500</v>
      </c>
      <c r="I89" s="102">
        <v>500</v>
      </c>
      <c r="J89" s="102">
        <v>500</v>
      </c>
      <c r="K89" s="102">
        <v>500</v>
      </c>
      <c r="L89" s="102">
        <v>500</v>
      </c>
      <c r="M89" s="102">
        <v>500</v>
      </c>
      <c r="N89" s="102">
        <v>500</v>
      </c>
      <c r="O89" s="102">
        <v>500</v>
      </c>
      <c r="P89" s="102">
        <v>500</v>
      </c>
      <c r="Q89" s="102">
        <v>500</v>
      </c>
      <c r="R89" s="102">
        <v>500</v>
      </c>
      <c r="S89" s="102">
        <v>500</v>
      </c>
      <c r="T89" s="102">
        <v>500</v>
      </c>
      <c r="U89" s="102">
        <v>500</v>
      </c>
      <c r="V89" s="102">
        <v>500</v>
      </c>
      <c r="W89" s="102">
        <v>500</v>
      </c>
      <c r="X89" s="102">
        <v>500</v>
      </c>
      <c r="Y89" s="102">
        <v>500</v>
      </c>
      <c r="Z89" s="102">
        <v>500</v>
      </c>
      <c r="AA89" s="102">
        <v>500</v>
      </c>
    </row>
    <row r="90" spans="2:27">
      <c r="P90" s="66"/>
      <c r="Q90" s="66"/>
      <c r="R90" s="66"/>
      <c r="S90" s="66"/>
      <c r="T90" s="66"/>
      <c r="U90" s="66"/>
      <c r="V90" s="66"/>
    </row>
    <row r="91" spans="2:27">
      <c r="P91" s="66"/>
      <c r="Q91" s="66"/>
      <c r="R91" s="66"/>
      <c r="S91" s="66"/>
      <c r="T91" s="66"/>
      <c r="U91" s="66"/>
      <c r="V91" s="66"/>
    </row>
    <row r="92" spans="2:27">
      <c r="P92" s="66"/>
      <c r="Q92" s="66"/>
      <c r="R92" s="66"/>
      <c r="S92" s="66"/>
      <c r="T92" s="66"/>
      <c r="U92" s="66"/>
      <c r="V92" s="66"/>
    </row>
    <row r="93" spans="2:27">
      <c r="P93" s="66"/>
      <c r="Q93" s="66"/>
      <c r="R93" s="66"/>
      <c r="S93" s="66"/>
      <c r="T93" s="66"/>
      <c r="U93" s="66"/>
      <c r="V93" s="66"/>
    </row>
    <row r="94" spans="2:27">
      <c r="P94" s="66"/>
      <c r="Q94" s="66"/>
      <c r="R94" s="66"/>
      <c r="S94" s="66"/>
      <c r="T94" s="66"/>
      <c r="U94" s="66"/>
      <c r="V94" s="66"/>
    </row>
    <row r="95" spans="2:27">
      <c r="P95" s="66"/>
      <c r="Q95" s="66"/>
      <c r="R95" s="66"/>
      <c r="S95" s="66"/>
      <c r="T95" s="66"/>
      <c r="U95" s="66"/>
      <c r="V95" s="66"/>
    </row>
    <row r="96" spans="2:27">
      <c r="P96" s="66"/>
      <c r="Q96" s="66"/>
      <c r="R96" s="66"/>
      <c r="S96" s="66"/>
      <c r="T96" s="66"/>
      <c r="U96" s="66"/>
      <c r="V96" s="66"/>
    </row>
    <row r="97" spans="16:22">
      <c r="P97" s="66"/>
      <c r="Q97" s="66"/>
      <c r="R97" s="66"/>
      <c r="S97" s="66"/>
      <c r="T97" s="66"/>
      <c r="U97" s="66"/>
      <c r="V97" s="66"/>
    </row>
    <row r="98" spans="16:22">
      <c r="P98" s="66"/>
      <c r="Q98" s="66"/>
      <c r="R98" s="66"/>
      <c r="S98" s="66"/>
      <c r="T98" s="66"/>
      <c r="U98" s="66"/>
      <c r="V98" s="66"/>
    </row>
    <row r="99" spans="16:22">
      <c r="P99" s="66"/>
      <c r="Q99" s="66"/>
      <c r="R99" s="66"/>
      <c r="S99" s="66"/>
      <c r="T99" s="66"/>
      <c r="U99" s="66"/>
      <c r="V99" s="66"/>
    </row>
    <row r="100" spans="16:22">
      <c r="P100" s="66"/>
      <c r="Q100" s="66"/>
      <c r="R100" s="66"/>
      <c r="S100" s="66"/>
      <c r="T100" s="66"/>
      <c r="U100" s="66"/>
      <c r="V100" s="66"/>
    </row>
    <row r="101" spans="16:22">
      <c r="P101" s="66"/>
      <c r="Q101" s="66"/>
      <c r="R101" s="66"/>
      <c r="S101" s="66"/>
      <c r="T101" s="66"/>
      <c r="U101" s="66"/>
      <c r="V101" s="66"/>
    </row>
    <row r="102" spans="16:22">
      <c r="P102" s="66"/>
      <c r="Q102" s="66"/>
      <c r="R102" s="66"/>
      <c r="S102" s="66"/>
      <c r="T102" s="66"/>
      <c r="U102" s="66"/>
      <c r="V102" s="66"/>
    </row>
    <row r="103" spans="16:22">
      <c r="P103" s="66"/>
      <c r="Q103" s="66"/>
      <c r="R103" s="66"/>
      <c r="S103" s="66"/>
      <c r="T103" s="66"/>
      <c r="U103" s="66"/>
      <c r="V103" s="66"/>
    </row>
    <row r="104" spans="16:22">
      <c r="P104" s="66"/>
      <c r="Q104" s="66"/>
      <c r="R104" s="66"/>
      <c r="S104" s="66"/>
      <c r="T104" s="66"/>
      <c r="U104" s="66"/>
      <c r="V104" s="66"/>
    </row>
    <row r="105" spans="16:22">
      <c r="P105" s="66"/>
      <c r="Q105" s="66"/>
      <c r="R105" s="66"/>
      <c r="S105" s="66"/>
      <c r="T105" s="66"/>
      <c r="U105" s="66"/>
      <c r="V105" s="66"/>
    </row>
    <row r="106" spans="16:22">
      <c r="P106" s="66"/>
      <c r="Q106" s="66"/>
      <c r="R106" s="66"/>
      <c r="S106" s="66"/>
      <c r="T106" s="66"/>
      <c r="U106" s="66"/>
      <c r="V106" s="66"/>
    </row>
    <row r="107" spans="16:22">
      <c r="P107" s="66"/>
      <c r="Q107" s="66"/>
      <c r="R107" s="66"/>
      <c r="S107" s="66"/>
      <c r="T107" s="66"/>
      <c r="U107" s="66"/>
      <c r="V107" s="66"/>
    </row>
    <row r="108" spans="16:22">
      <c r="P108" s="66"/>
      <c r="Q108" s="66"/>
      <c r="R108" s="66"/>
      <c r="S108" s="66"/>
      <c r="T108" s="66"/>
      <c r="U108" s="66"/>
      <c r="V108" s="66"/>
    </row>
    <row r="109" spans="16:22">
      <c r="P109" s="66"/>
      <c r="Q109" s="66"/>
      <c r="R109" s="66"/>
      <c r="S109" s="66"/>
      <c r="T109" s="66"/>
      <c r="U109" s="66"/>
      <c r="V109" s="66"/>
    </row>
    <row r="110" spans="16:22">
      <c r="P110" s="66"/>
      <c r="Q110" s="66"/>
      <c r="R110" s="66"/>
      <c r="S110" s="66"/>
      <c r="T110" s="66"/>
      <c r="U110" s="66"/>
      <c r="V110" s="66"/>
    </row>
    <row r="111" spans="16:22">
      <c r="P111" s="66"/>
      <c r="Q111" s="66"/>
      <c r="R111" s="66"/>
      <c r="S111" s="66"/>
      <c r="T111" s="66"/>
      <c r="U111" s="66"/>
      <c r="V111" s="66"/>
    </row>
    <row r="112" spans="16:22">
      <c r="P112" s="66"/>
      <c r="Q112" s="66"/>
      <c r="R112" s="66"/>
      <c r="S112" s="66"/>
      <c r="T112" s="66"/>
      <c r="U112" s="66"/>
      <c r="V112" s="66"/>
    </row>
    <row r="113" spans="2:27" ht="33" customHeight="1" outlineLevel="1">
      <c r="B113" s="185" t="s">
        <v>204</v>
      </c>
      <c r="C113" s="185"/>
      <c r="D113" s="185"/>
      <c r="E113" s="185"/>
      <c r="F113" s="185"/>
      <c r="G113" s="185"/>
      <c r="H113" s="185"/>
      <c r="I113" s="185"/>
      <c r="J113" s="185"/>
      <c r="K113" s="185"/>
      <c r="L113" s="185"/>
      <c r="M113" s="185"/>
      <c r="N113" s="185"/>
      <c r="O113" s="185"/>
      <c r="P113" s="185"/>
      <c r="Q113" s="185"/>
      <c r="R113" s="185"/>
    </row>
    <row r="114" spans="2:27">
      <c r="P114" s="66"/>
      <c r="Q114" s="66"/>
      <c r="R114" s="66"/>
      <c r="S114" s="66"/>
      <c r="T114" s="66"/>
      <c r="U114" s="66"/>
      <c r="V114" s="66"/>
    </row>
    <row r="115" spans="2:27">
      <c r="P115" s="66"/>
      <c r="Q115" s="66"/>
      <c r="R115" s="66"/>
      <c r="S115" s="66"/>
      <c r="T115" s="66"/>
      <c r="U115" s="66"/>
      <c r="V115" s="66"/>
    </row>
    <row r="116" spans="2:27">
      <c r="P116" s="66"/>
      <c r="Q116" s="66"/>
      <c r="R116" s="66"/>
      <c r="S116" s="66"/>
      <c r="T116" s="66"/>
      <c r="U116" s="66"/>
      <c r="V116" s="66"/>
    </row>
    <row r="117" spans="2:27" ht="15.6">
      <c r="B117" s="44" t="s">
        <v>179</v>
      </c>
      <c r="C117" s="44"/>
      <c r="D117" s="35"/>
      <c r="E117" s="35"/>
      <c r="F117" s="35"/>
      <c r="G117" s="61"/>
      <c r="H117" s="62"/>
      <c r="P117" s="66"/>
      <c r="Q117" s="66"/>
      <c r="R117" s="66"/>
      <c r="S117" s="66"/>
      <c r="T117" s="66"/>
      <c r="U117" s="66"/>
      <c r="V117" s="66"/>
    </row>
    <row r="118" spans="2:27" ht="15.6">
      <c r="B118" s="156"/>
      <c r="C118" s="156"/>
      <c r="D118" s="37"/>
      <c r="E118" s="37"/>
      <c r="F118" s="37"/>
      <c r="G118" s="62"/>
      <c r="H118" s="62"/>
      <c r="P118" s="66"/>
      <c r="Q118" s="66"/>
      <c r="R118" s="66"/>
      <c r="S118" s="66"/>
      <c r="T118" s="66"/>
      <c r="U118" s="66"/>
      <c r="V118" s="66"/>
    </row>
    <row r="119" spans="2:27" ht="15" thickBot="1">
      <c r="D119" s="78">
        <f>Model!D8</f>
        <v>44927</v>
      </c>
      <c r="E119" s="78">
        <f>Model!E8</f>
        <v>44958</v>
      </c>
      <c r="F119" s="78">
        <f>Model!F8</f>
        <v>44986</v>
      </c>
      <c r="G119" s="78">
        <f>Model!G8</f>
        <v>45017</v>
      </c>
      <c r="H119" s="78">
        <f>Model!H8</f>
        <v>45047</v>
      </c>
      <c r="I119" s="78">
        <f>Model!I8</f>
        <v>45078</v>
      </c>
      <c r="J119" s="78">
        <f>Model!J8</f>
        <v>45108</v>
      </c>
      <c r="K119" s="78">
        <f>Model!K8</f>
        <v>45139</v>
      </c>
      <c r="L119" s="78">
        <f>Model!L8</f>
        <v>45170</v>
      </c>
      <c r="M119" s="78">
        <f>Model!M8</f>
        <v>45200</v>
      </c>
      <c r="N119" s="78">
        <f>Model!N8</f>
        <v>45231</v>
      </c>
      <c r="O119" s="78">
        <f>Model!O8</f>
        <v>45261</v>
      </c>
      <c r="P119" s="78">
        <f>Model!P8</f>
        <v>45292</v>
      </c>
      <c r="Q119" s="78">
        <f>Model!Q8</f>
        <v>45323</v>
      </c>
      <c r="R119" s="78">
        <f>Model!R8</f>
        <v>45352</v>
      </c>
      <c r="S119" s="78">
        <f>Model!S8</f>
        <v>45383</v>
      </c>
      <c r="T119" s="78">
        <f>Model!T8</f>
        <v>45413</v>
      </c>
      <c r="U119" s="78">
        <f>Model!U8</f>
        <v>45444</v>
      </c>
      <c r="V119" s="78">
        <f>Model!V8</f>
        <v>45474</v>
      </c>
      <c r="W119" s="78">
        <f>Model!W8</f>
        <v>45505</v>
      </c>
      <c r="X119" s="78">
        <f>Model!X8</f>
        <v>45536</v>
      </c>
      <c r="Y119" s="78">
        <f>Model!Y8</f>
        <v>45566</v>
      </c>
      <c r="Z119" s="78">
        <f>Model!Z8</f>
        <v>45597</v>
      </c>
      <c r="AA119" s="78">
        <f>Model!AA8</f>
        <v>45627</v>
      </c>
    </row>
    <row r="120" spans="2:27" ht="15" thickTop="1">
      <c r="D120" s="76"/>
      <c r="E120" s="76"/>
      <c r="F120" s="76"/>
      <c r="G120" s="76"/>
      <c r="H120" s="76"/>
      <c r="I120" s="76"/>
      <c r="J120" s="76"/>
      <c r="K120" s="76"/>
      <c r="L120" s="76"/>
      <c r="M120" s="76"/>
      <c r="N120" s="76"/>
      <c r="O120" s="76"/>
      <c r="P120" s="77"/>
      <c r="Q120" s="77"/>
      <c r="R120" s="77"/>
      <c r="S120" s="77"/>
      <c r="T120" s="77"/>
      <c r="U120" s="77"/>
      <c r="V120" s="77"/>
      <c r="W120" s="76"/>
      <c r="X120" s="76"/>
      <c r="Y120" s="76"/>
      <c r="Z120" s="76"/>
      <c r="AA120" s="76"/>
    </row>
    <row r="121" spans="2:27" s="62" customFormat="1" ht="15.6">
      <c r="B121" s="47" t="s">
        <v>180</v>
      </c>
      <c r="D121" s="102">
        <f ca="1">Model!D142+Model!D139</f>
        <v>6676.8926512322505</v>
      </c>
      <c r="E121" s="102">
        <f ca="1">Model!E142+Model!E139</f>
        <v>7327.6031292905873</v>
      </c>
      <c r="F121" s="102">
        <f ca="1">Model!F142+Model!F139</f>
        <v>7999.2416838648733</v>
      </c>
      <c r="G121" s="102">
        <f ca="1">Model!G142+Model!G139</f>
        <v>8693.8065008023041</v>
      </c>
      <c r="H121" s="102">
        <f ca="1">Model!H142+Model!H139</f>
        <v>9411.2957568565835</v>
      </c>
      <c r="I121" s="102">
        <f ca="1">Model!I142+Model!I139</f>
        <v>10151.70761964233</v>
      </c>
      <c r="J121" s="102">
        <f ca="1">Model!J142+Model!J139</f>
        <v>10915.040247589273</v>
      </c>
      <c r="K121" s="102">
        <f ca="1">Model!K142+Model!K139</f>
        <v>11701.291789896219</v>
      </c>
      <c r="L121" s="102">
        <f ca="1">Model!L142+Model!L139</f>
        <v>12512.46038648477</v>
      </c>
      <c r="M121" s="102">
        <f ca="1">Model!M142+Model!M139</f>
        <v>13346.54416795283</v>
      </c>
      <c r="N121" s="102">
        <f ca="1">Model!N142+Model!N139</f>
        <v>14205.541255527865</v>
      </c>
      <c r="O121" s="102">
        <f ca="1">Model!O142+Model!O139</f>
        <v>15101.499350061031</v>
      </c>
      <c r="P121" s="102">
        <f ca="1">Model!P142+Model!P139</f>
        <v>16113.006519651201</v>
      </c>
      <c r="Q121" s="102">
        <f ca="1">Model!Q142+Model!Q139</f>
        <v>17165.0115078167</v>
      </c>
      <c r="R121" s="102">
        <f ca="1">Model!R142+Model!R139</f>
        <v>18260.537192351745</v>
      </c>
      <c r="S121" s="102">
        <f ca="1">Model!S142+Model!S139</f>
        <v>19397.581646922346</v>
      </c>
      <c r="T121" s="102">
        <f ca="1">Model!T142+Model!T139</f>
        <v>20578.142935538708</v>
      </c>
      <c r="U121" s="102">
        <f ca="1">Model!U142+Model!U139</f>
        <v>21802.21911250682</v>
      </c>
      <c r="V121" s="102">
        <f ca="1">Model!V142+Model!V139</f>
        <v>23069.808222379826</v>
      </c>
      <c r="W121" s="102">
        <f ca="1">Model!W142+Model!W139</f>
        <v>23492.602804500588</v>
      </c>
      <c r="X121" s="102">
        <f ca="1">Model!X142+Model!X139</f>
        <v>23413.203312145062</v>
      </c>
      <c r="Y121" s="102">
        <f ca="1">Model!Y142+Model!Y139</f>
        <v>23333.405827346651</v>
      </c>
      <c r="Z121" s="102">
        <f ca="1">Model!Z142+Model!Z139</f>
        <v>23253.20835515577</v>
      </c>
      <c r="AA121" s="102">
        <f ca="1">Model!AA142+Model!AA139</f>
        <v>23172.608890623076</v>
      </c>
    </row>
    <row r="122" spans="2:27" s="62" customFormat="1" ht="15.6">
      <c r="B122" s="47" t="s">
        <v>181</v>
      </c>
      <c r="D122" s="102">
        <f>Model!D21*12</f>
        <v>-8218.2000000000007</v>
      </c>
      <c r="E122" s="102">
        <f>Model!E21*12</f>
        <v>-8365.32</v>
      </c>
      <c r="F122" s="102">
        <f>Model!F21*12</f>
        <v>-8512.44</v>
      </c>
      <c r="G122" s="102">
        <f>Model!G21*12</f>
        <v>-8659.56</v>
      </c>
      <c r="H122" s="102">
        <f>Model!H21*12</f>
        <v>-8806.68</v>
      </c>
      <c r="I122" s="102">
        <f>Model!I21*12</f>
        <v>-8953.7999999999993</v>
      </c>
      <c r="J122" s="102">
        <f>Model!J21*12</f>
        <v>-9100.92</v>
      </c>
      <c r="K122" s="102">
        <f>Model!K21*12</f>
        <v>-9248.0399999999991</v>
      </c>
      <c r="L122" s="102">
        <f>Model!L21*12</f>
        <v>-9395.16</v>
      </c>
      <c r="M122" s="102">
        <f>Model!M21*12</f>
        <v>-9542.2799999999988</v>
      </c>
      <c r="N122" s="102">
        <f>Model!N21*12</f>
        <v>-9689.4</v>
      </c>
      <c r="O122" s="102">
        <f>Model!O21*12</f>
        <v>-10034.279999999999</v>
      </c>
      <c r="P122" s="102">
        <f>Model!P21*12</f>
        <v>-10691.280000000002</v>
      </c>
      <c r="Q122" s="102">
        <f>Model!Q21*12</f>
        <v>-11038.320000000002</v>
      </c>
      <c r="R122" s="102">
        <f>Model!R21*12</f>
        <v>-11385.36</v>
      </c>
      <c r="S122" s="102">
        <f>Model!S21*12</f>
        <v>-11732.4</v>
      </c>
      <c r="T122" s="102">
        <f>Model!T21*12</f>
        <v>-12079.44</v>
      </c>
      <c r="U122" s="102">
        <f>Model!U21*12</f>
        <v>-12426.480000000003</v>
      </c>
      <c r="V122" s="102">
        <f>Model!V21*12</f>
        <v>-12773.52</v>
      </c>
      <c r="W122" s="102">
        <f>Model!W21*12</f>
        <v>-13120.560000000001</v>
      </c>
      <c r="X122" s="102">
        <f>Model!X21*12</f>
        <v>-13467.600000000002</v>
      </c>
      <c r="Y122" s="102">
        <f>Model!Y21*12</f>
        <v>-13814.639999999998</v>
      </c>
      <c r="Z122" s="102">
        <f>Model!Z21*12</f>
        <v>-14112.960000000003</v>
      </c>
      <c r="AA122" s="102">
        <f>Model!AA21*12</f>
        <v>-14411.28</v>
      </c>
    </row>
    <row r="123" spans="2:27" s="62" customFormat="1" ht="15.6">
      <c r="B123" s="153" t="s">
        <v>182</v>
      </c>
      <c r="C123" s="160"/>
      <c r="D123" s="161">
        <f ca="1">D121/D122</f>
        <v>-0.81245195434915796</v>
      </c>
      <c r="E123" s="161">
        <f t="shared" ref="E123:AA123" ca="1" si="1">E121/E122</f>
        <v>-0.87595012854147691</v>
      </c>
      <c r="F123" s="161">
        <f t="shared" ca="1" si="1"/>
        <v>-0.93971196083201447</v>
      </c>
      <c r="G123" s="161">
        <f t="shared" ca="1" si="1"/>
        <v>-1.00395476222837</v>
      </c>
      <c r="H123" s="161">
        <f t="shared" ca="1" si="1"/>
        <v>-1.0686542212112378</v>
      </c>
      <c r="I123" s="161">
        <f t="shared" ca="1" si="1"/>
        <v>-1.1337876230921318</v>
      </c>
      <c r="J123" s="161">
        <f t="shared" ca="1" si="1"/>
        <v>-1.1993337209413195</v>
      </c>
      <c r="K123" s="161">
        <f t="shared" ca="1" si="1"/>
        <v>-1.2652726188355825</v>
      </c>
      <c r="L123" s="161">
        <f t="shared" ca="1" si="1"/>
        <v>-1.3317985416410971</v>
      </c>
      <c r="M123" s="161">
        <f t="shared" ca="1" si="1"/>
        <v>-1.3986745482162368</v>
      </c>
      <c r="N123" s="161">
        <f t="shared" ca="1" si="1"/>
        <v>-1.4660909091922993</v>
      </c>
      <c r="O123" s="161">
        <f t="shared" ca="1" si="1"/>
        <v>-1.5049908264530223</v>
      </c>
      <c r="P123" s="161">
        <f t="shared" ca="1" si="1"/>
        <v>-1.507116689456379</v>
      </c>
      <c r="Q123" s="161">
        <f t="shared" ca="1" si="1"/>
        <v>-1.5550384032911437</v>
      </c>
      <c r="R123" s="161">
        <f t="shared" ca="1" si="1"/>
        <v>-1.6038612035413675</v>
      </c>
      <c r="S123" s="161">
        <f t="shared" ca="1" si="1"/>
        <v>-1.6533344965158319</v>
      </c>
      <c r="T123" s="161">
        <f t="shared" ca="1" si="1"/>
        <v>-1.7035676269378968</v>
      </c>
      <c r="U123" s="161">
        <f t="shared" ca="1" si="1"/>
        <v>-1.7544967772455928</v>
      </c>
      <c r="V123" s="161">
        <f t="shared" ca="1" si="1"/>
        <v>-1.8060650644755576</v>
      </c>
      <c r="W123" s="161">
        <f t="shared" ca="1" si="1"/>
        <v>-1.7905183013911439</v>
      </c>
      <c r="X123" s="161">
        <f t="shared" ca="1" si="1"/>
        <v>-1.7384837173768941</v>
      </c>
      <c r="Y123" s="161">
        <f t="shared" ca="1" si="1"/>
        <v>-1.6890346637586398</v>
      </c>
      <c r="Z123" s="161">
        <f t="shared" ca="1" si="1"/>
        <v>-1.6476492780505128</v>
      </c>
      <c r="AA123" s="161">
        <f t="shared" ca="1" si="1"/>
        <v>-1.6079493903819144</v>
      </c>
    </row>
    <row r="124" spans="2:27">
      <c r="P124" s="66"/>
      <c r="Q124" s="66"/>
      <c r="R124" s="66"/>
      <c r="S124" s="66"/>
      <c r="T124" s="66"/>
      <c r="U124" s="66"/>
      <c r="V124" s="66"/>
    </row>
    <row r="125" spans="2:27">
      <c r="P125" s="66"/>
      <c r="Q125" s="66"/>
      <c r="R125" s="66"/>
      <c r="S125" s="66"/>
      <c r="T125" s="66"/>
      <c r="U125" s="66"/>
      <c r="V125" s="66"/>
    </row>
    <row r="126" spans="2:27">
      <c r="P126" s="66"/>
      <c r="Q126" s="66"/>
      <c r="R126" s="66"/>
      <c r="S126" s="66"/>
      <c r="T126" s="66"/>
      <c r="U126" s="66"/>
      <c r="V126" s="66"/>
    </row>
    <row r="127" spans="2:27">
      <c r="P127" s="66"/>
      <c r="Q127" s="66"/>
      <c r="R127" s="66"/>
      <c r="S127" s="66"/>
      <c r="T127" s="66"/>
      <c r="U127" s="66"/>
      <c r="V127" s="66"/>
    </row>
    <row r="128" spans="2:27">
      <c r="P128" s="66"/>
      <c r="Q128" s="66"/>
      <c r="R128" s="66"/>
      <c r="S128" s="66"/>
      <c r="T128" s="66"/>
      <c r="U128" s="66"/>
      <c r="V128" s="66"/>
    </row>
    <row r="129" spans="2:22">
      <c r="P129" s="66"/>
      <c r="Q129" s="66"/>
      <c r="R129" s="66"/>
      <c r="S129" s="66"/>
      <c r="T129" s="66"/>
      <c r="U129" s="66"/>
      <c r="V129" s="66"/>
    </row>
    <row r="130" spans="2:22">
      <c r="P130" s="66"/>
      <c r="Q130" s="66"/>
      <c r="R130" s="66"/>
      <c r="S130" s="66"/>
      <c r="T130" s="66"/>
      <c r="U130" s="66"/>
      <c r="V130" s="66"/>
    </row>
    <row r="131" spans="2:22">
      <c r="P131" s="66"/>
      <c r="Q131" s="66"/>
      <c r="R131" s="66"/>
      <c r="S131" s="66"/>
      <c r="T131" s="66"/>
      <c r="U131" s="66"/>
      <c r="V131" s="66"/>
    </row>
    <row r="132" spans="2:22">
      <c r="P132" s="66"/>
      <c r="Q132" s="66"/>
      <c r="R132" s="66"/>
      <c r="S132" s="66"/>
      <c r="T132" s="66"/>
      <c r="U132" s="66"/>
      <c r="V132" s="66"/>
    </row>
    <row r="133" spans="2:22">
      <c r="P133" s="66"/>
      <c r="Q133" s="66"/>
      <c r="R133" s="66"/>
      <c r="S133" s="66"/>
      <c r="T133" s="66"/>
      <c r="U133" s="66"/>
      <c r="V133" s="66"/>
    </row>
    <row r="134" spans="2:22">
      <c r="P134" s="66"/>
      <c r="Q134" s="66"/>
      <c r="R134" s="66"/>
      <c r="S134" s="66"/>
      <c r="T134" s="66"/>
      <c r="U134" s="66"/>
      <c r="V134" s="66"/>
    </row>
    <row r="135" spans="2:22">
      <c r="P135" s="66"/>
      <c r="Q135" s="66"/>
      <c r="R135" s="66"/>
      <c r="S135" s="66"/>
      <c r="T135" s="66"/>
      <c r="U135" s="66"/>
      <c r="V135" s="66"/>
    </row>
    <row r="136" spans="2:22">
      <c r="P136" s="66"/>
      <c r="Q136" s="66"/>
      <c r="R136" s="66"/>
      <c r="S136" s="66"/>
      <c r="T136" s="66"/>
      <c r="U136" s="66"/>
      <c r="V136" s="66"/>
    </row>
    <row r="137" spans="2:22">
      <c r="P137" s="66"/>
      <c r="Q137" s="66"/>
      <c r="R137" s="66"/>
      <c r="S137" s="66"/>
      <c r="T137" s="66"/>
      <c r="U137" s="66"/>
      <c r="V137" s="66"/>
    </row>
    <row r="138" spans="2:22">
      <c r="P138" s="66"/>
      <c r="Q138" s="66"/>
      <c r="R138" s="66"/>
      <c r="S138" s="66"/>
      <c r="T138" s="66"/>
      <c r="U138" s="66"/>
      <c r="V138" s="66"/>
    </row>
    <row r="139" spans="2:22">
      <c r="P139" s="66"/>
      <c r="Q139" s="66"/>
      <c r="R139" s="66"/>
      <c r="S139" s="66"/>
      <c r="T139" s="66"/>
      <c r="U139" s="66"/>
      <c r="V139" s="66"/>
    </row>
    <row r="140" spans="2:22">
      <c r="P140" s="66"/>
      <c r="Q140" s="66"/>
      <c r="R140" s="66"/>
      <c r="S140" s="66"/>
      <c r="T140" s="66"/>
      <c r="U140" s="66"/>
      <c r="V140" s="66"/>
    </row>
    <row r="141" spans="2:22">
      <c r="P141" s="66"/>
      <c r="Q141" s="66"/>
      <c r="R141" s="66"/>
      <c r="S141" s="66"/>
      <c r="T141" s="66"/>
      <c r="U141" s="66"/>
      <c r="V141" s="66"/>
    </row>
    <row r="142" spans="2:22" ht="15.6">
      <c r="B142" s="44" t="s">
        <v>11</v>
      </c>
      <c r="C142" s="44"/>
      <c r="D142" s="35"/>
      <c r="E142" s="35"/>
      <c r="F142" s="35"/>
      <c r="G142" s="61"/>
      <c r="H142" s="62"/>
      <c r="P142" s="66"/>
      <c r="Q142" s="66"/>
      <c r="R142" s="66"/>
      <c r="S142" s="66"/>
      <c r="T142" s="66"/>
      <c r="U142" s="66"/>
      <c r="V142" s="66"/>
    </row>
    <row r="143" spans="2:22">
      <c r="P143" s="67"/>
      <c r="Q143" s="67"/>
      <c r="R143" s="67"/>
      <c r="S143" s="67"/>
      <c r="T143" s="67"/>
      <c r="U143" s="67"/>
      <c r="V143" s="67"/>
    </row>
    <row r="144" spans="2:22" ht="15.6">
      <c r="B144" s="110" t="s">
        <v>12</v>
      </c>
      <c r="E144" s="102">
        <f ca="1">XNPV(F144,Model!$D$107:$AA$107,Model!$D$8:$AA$8)</f>
        <v>-21292.395679333098</v>
      </c>
      <c r="F144" s="12">
        <f>ROUNDDOWN(Model!E248,3)</f>
        <v>0.111</v>
      </c>
      <c r="P144" s="66"/>
      <c r="Q144" s="66"/>
      <c r="R144" s="187"/>
      <c r="S144" s="187"/>
      <c r="T144" s="187"/>
      <c r="U144" s="187"/>
      <c r="V144" s="187"/>
    </row>
    <row r="145" spans="1:22" ht="15.6">
      <c r="B145" s="110" t="s">
        <v>13</v>
      </c>
      <c r="E145" s="73" t="str">
        <f ca="1">IFERROR(XIRR(Model!$D$107:$AA$107,Model!$D$8:$AA$8),"na")</f>
        <v>na</v>
      </c>
      <c r="F145" s="166"/>
      <c r="P145" s="66"/>
      <c r="Q145" s="68"/>
      <c r="R145" s="69"/>
      <c r="S145" s="69"/>
      <c r="T145" s="69"/>
      <c r="U145" s="69"/>
      <c r="V145" s="69"/>
    </row>
    <row r="146" spans="1:22" ht="15.6">
      <c r="B146" s="110" t="s">
        <v>14</v>
      </c>
      <c r="E146" s="157">
        <f ca="1">Model!$AA$117/(-Model!$D$107:$AA$107)</f>
        <v>-9.5376982539141846</v>
      </c>
      <c r="P146" s="66"/>
      <c r="Q146" s="66"/>
      <c r="R146" s="66"/>
      <c r="S146" s="66"/>
      <c r="T146" s="66"/>
      <c r="U146" s="66"/>
      <c r="V146" s="66"/>
    </row>
    <row r="147" spans="1:22" ht="15.6">
      <c r="B147" s="110" t="s">
        <v>15</v>
      </c>
      <c r="E147" s="102">
        <f ca="1">Model!$AA$117</f>
        <v>-6206.2801903806649</v>
      </c>
      <c r="P147" s="66"/>
      <c r="Q147" s="66"/>
      <c r="R147" s="66"/>
      <c r="S147" s="66"/>
      <c r="T147" s="66"/>
      <c r="U147" s="66"/>
      <c r="V147" s="66"/>
    </row>
    <row r="148" spans="1:22" ht="15.6">
      <c r="B148" s="110" t="s">
        <v>103</v>
      </c>
      <c r="E148" s="102">
        <f>Inputs!E19</f>
        <v>1200</v>
      </c>
      <c r="P148" s="66"/>
      <c r="Q148" s="66"/>
      <c r="R148" s="66"/>
      <c r="S148" s="66"/>
      <c r="T148" s="66"/>
      <c r="U148" s="66"/>
      <c r="V148" s="66"/>
    </row>
    <row r="149" spans="1:22" ht="15.6">
      <c r="B149" s="166" t="s">
        <v>187</v>
      </c>
      <c r="E149" s="41"/>
      <c r="J149" s="66"/>
      <c r="K149" s="66"/>
      <c r="L149" s="66"/>
      <c r="M149" s="66"/>
      <c r="N149" s="66"/>
      <c r="O149" s="66"/>
      <c r="P149" s="66"/>
      <c r="Q149" s="66"/>
      <c r="R149" s="66"/>
      <c r="S149" s="66"/>
      <c r="T149" s="66"/>
      <c r="U149" s="66"/>
      <c r="V149" s="66"/>
    </row>
    <row r="150" spans="1:22" ht="15.6">
      <c r="B150" s="47"/>
      <c r="J150" s="67"/>
      <c r="K150" s="67"/>
      <c r="L150" s="67"/>
      <c r="M150" s="67"/>
      <c r="N150" s="67"/>
      <c r="O150" s="67"/>
      <c r="P150" s="67"/>
      <c r="Q150" s="67"/>
      <c r="R150" s="67"/>
      <c r="S150" s="67"/>
      <c r="T150" s="67"/>
      <c r="U150" s="67"/>
    </row>
    <row r="151" spans="1:22">
      <c r="A151" s="163"/>
      <c r="B151" s="162"/>
      <c r="C151" s="162"/>
      <c r="D151" s="162"/>
      <c r="E151" s="65" t="s">
        <v>53</v>
      </c>
      <c r="F151" s="162"/>
      <c r="G151" s="162"/>
      <c r="H151" s="162"/>
      <c r="J151" s="187"/>
      <c r="K151" s="187"/>
      <c r="L151" s="187"/>
      <c r="M151" s="187"/>
      <c r="N151" s="187"/>
      <c r="O151" s="187"/>
      <c r="P151" s="187"/>
      <c r="Q151" s="187"/>
      <c r="R151" s="187"/>
      <c r="S151" s="187"/>
      <c r="T151" s="187"/>
      <c r="U151" s="187"/>
    </row>
    <row r="152" spans="1:22">
      <c r="D152" s="188" t="s">
        <v>54</v>
      </c>
      <c r="E152" s="188"/>
      <c r="F152" s="188"/>
      <c r="G152" s="188"/>
      <c r="H152" s="188"/>
      <c r="J152" s="69"/>
      <c r="K152" s="69"/>
      <c r="L152" s="69"/>
      <c r="N152" s="69"/>
      <c r="O152" s="67"/>
      <c r="P152" s="67"/>
      <c r="Q152" s="67"/>
      <c r="R152" s="67"/>
      <c r="S152" s="67"/>
      <c r="T152" s="67"/>
      <c r="U152" s="67"/>
    </row>
    <row r="153" spans="1:22" ht="15.6">
      <c r="C153" s="75">
        <f ca="1">E144</f>
        <v>-21292.395679333098</v>
      </c>
      <c r="D153" s="136">
        <v>0.25</v>
      </c>
      <c r="E153" s="136">
        <v>0.15</v>
      </c>
      <c r="F153" s="136">
        <v>0.111</v>
      </c>
      <c r="G153" s="136">
        <v>0.1</v>
      </c>
      <c r="H153" s="136">
        <v>0.05</v>
      </c>
      <c r="J153" s="66"/>
      <c r="K153" s="66"/>
      <c r="L153" s="66"/>
      <c r="M153" s="66"/>
      <c r="N153" s="66"/>
      <c r="O153" s="187"/>
      <c r="P153" s="187"/>
      <c r="Q153" s="187"/>
      <c r="R153" s="187"/>
      <c r="S153" s="187"/>
      <c r="T153" s="187"/>
      <c r="U153" s="187"/>
    </row>
    <row r="154" spans="1:22" ht="15.6">
      <c r="B154" s="70" t="s">
        <v>103</v>
      </c>
      <c r="C154" s="72">
        <v>0</v>
      </c>
      <c r="D154" s="102">
        <f ca="1">D$160+($C154-Inputs!$E$20)*D$161</f>
        <v>-29228.564419748313</v>
      </c>
      <c r="E154" s="102">
        <f ca="1">E$160+($C154-Inputs!$E$20)*E$161</f>
        <v>-32277.30864789684</v>
      </c>
      <c r="F154" s="102">
        <f ca="1">F$160+($C154-Inputs!$E$20)*F$161</f>
        <v>-33648.767501020811</v>
      </c>
      <c r="G154" s="102">
        <f ca="1">G$160+($C154-Inputs!$E$20)*G$161</f>
        <v>-34057.05738085453</v>
      </c>
      <c r="H154" s="102">
        <f ca="1">H$160+($C154-Inputs!$E$20)*H$161</f>
        <v>-36045.2846272077</v>
      </c>
      <c r="J154" s="66"/>
      <c r="K154" s="66"/>
      <c r="L154" s="66"/>
      <c r="M154" s="66"/>
      <c r="N154" s="66"/>
      <c r="O154" s="67"/>
      <c r="P154" s="67"/>
      <c r="Q154" s="67"/>
      <c r="R154" s="67"/>
      <c r="S154" s="67"/>
      <c r="T154" s="67"/>
      <c r="U154" s="67"/>
    </row>
    <row r="155" spans="1:22" ht="15.6">
      <c r="B155" s="70"/>
      <c r="C155" s="72">
        <v>500</v>
      </c>
      <c r="D155" s="102">
        <f ca="1">D$160+($C155-Inputs!$E$20)*D$161</f>
        <v>-24886.345856664811</v>
      </c>
      <c r="E155" s="102">
        <f ca="1">E$160+($C155-Inputs!$E$20)*E$161</f>
        <v>-27379.754397782144</v>
      </c>
      <c r="F155" s="102">
        <f ca="1">F$160+($C155-Inputs!$E$20)*F$161</f>
        <v>-28500.279241984266</v>
      </c>
      <c r="G155" s="102">
        <f ca="1">G$160+($C155-Inputs!$E$20)*G$161</f>
        <v>-28833.742631699552</v>
      </c>
      <c r="H155" s="102">
        <f ca="1">H$160+($C155-Inputs!$E$20)*H$161</f>
        <v>-30456.842583591249</v>
      </c>
      <c r="J155" s="66"/>
      <c r="K155" s="66"/>
      <c r="L155" s="66"/>
      <c r="M155" s="66"/>
      <c r="N155" s="66"/>
      <c r="O155" s="187"/>
      <c r="P155" s="187"/>
      <c r="Q155" s="187"/>
      <c r="R155" s="187"/>
      <c r="S155" s="187"/>
      <c r="T155" s="187"/>
      <c r="U155" s="187"/>
    </row>
    <row r="156" spans="1:22" ht="15.6">
      <c r="B156" s="71"/>
      <c r="C156" s="72">
        <v>1200</v>
      </c>
      <c r="D156" s="102">
        <f ca="1">D$160+($C156-Inputs!$E$20)*D$161</f>
        <v>-18807.239868347904</v>
      </c>
      <c r="E156" s="102">
        <f ca="1">E$160+($C156-Inputs!$E$20)*E$161</f>
        <v>-20523.178447621573</v>
      </c>
      <c r="F156" s="167">
        <f ca="1">F$160+($C156-Inputs!$E$20)*F$161</f>
        <v>-21292.395679333098</v>
      </c>
      <c r="G156" s="102">
        <f ca="1">G$160+($C156-Inputs!$E$20)*G$161</f>
        <v>-21521.101982882581</v>
      </c>
      <c r="H156" s="102">
        <f ca="1">H$160+($C156-Inputs!$E$20)*H$161</f>
        <v>-22633.023722528218</v>
      </c>
      <c r="J156" s="66"/>
      <c r="K156" s="66"/>
      <c r="L156" s="66"/>
      <c r="M156" s="66"/>
      <c r="N156" s="66"/>
      <c r="O156" s="67"/>
      <c r="P156" s="67"/>
      <c r="Q156" s="67"/>
      <c r="R156" s="67"/>
      <c r="S156" s="67"/>
      <c r="T156" s="67"/>
      <c r="U156" s="67"/>
    </row>
    <row r="157" spans="1:22" ht="15.6">
      <c r="B157" s="71"/>
      <c r="C157" s="72">
        <v>1800</v>
      </c>
      <c r="D157" s="102">
        <f ca="1">D$160+($C157-Inputs!$E$20)*D$161</f>
        <v>-13596.5775926477</v>
      </c>
      <c r="E157" s="102">
        <f ca="1">E$160+($C157-Inputs!$E$20)*E$161</f>
        <v>-14646.113347483939</v>
      </c>
      <c r="F157" s="102">
        <f ca="1">F$160+($C157-Inputs!$E$20)*F$161</f>
        <v>-15114.20976848924</v>
      </c>
      <c r="G157" s="102">
        <f ca="1">G$160+($C157-Inputs!$E$20)*G$161</f>
        <v>-15253.124283896606</v>
      </c>
      <c r="H157" s="102">
        <f ca="1">H$160+($C157-Inputs!$E$20)*H$161</f>
        <v>-15926.893270188479</v>
      </c>
      <c r="O157" s="187"/>
      <c r="P157" s="187"/>
      <c r="Q157" s="187"/>
      <c r="R157" s="187"/>
      <c r="S157" s="187"/>
      <c r="T157" s="187"/>
      <c r="U157" s="187"/>
    </row>
    <row r="158" spans="1:22" ht="15.6">
      <c r="B158" s="71"/>
      <c r="C158" s="72">
        <v>2000</v>
      </c>
      <c r="D158" s="102">
        <f ca="1">D$160+($C158-Inputs!$E$20)*D$161</f>
        <v>-11859.690167414297</v>
      </c>
      <c r="E158" s="102">
        <f ca="1">E$160+($C158-Inputs!$E$20)*E$161</f>
        <v>-12687.091647438061</v>
      </c>
      <c r="F158" s="102">
        <f ca="1">F$160+($C158-Inputs!$E$20)*F$161</f>
        <v>-13054.81446487462</v>
      </c>
      <c r="G158" s="102">
        <f ca="1">G$160+($C158-Inputs!$E$20)*G$161</f>
        <v>-13163.798384234615</v>
      </c>
      <c r="H158" s="102">
        <f ca="1">H$160+($C158-Inputs!$E$20)*H$161</f>
        <v>-13691.516452741898</v>
      </c>
      <c r="O158" s="67"/>
      <c r="P158" s="67"/>
      <c r="Q158" s="67"/>
      <c r="R158" s="67"/>
      <c r="S158" s="67"/>
      <c r="T158" s="67"/>
      <c r="U158" s="67"/>
    </row>
    <row r="159" spans="1:22" ht="15.6">
      <c r="B159" s="70"/>
      <c r="C159" s="72">
        <v>2400</v>
      </c>
      <c r="D159" s="102">
        <f ca="1">D$160+($C159-Inputs!$E$20)*D$161</f>
        <v>-8385.9153169474939</v>
      </c>
      <c r="E159" s="102">
        <f ca="1">E$160+($C159-Inputs!$E$20)*E$161</f>
        <v>-8769.0482473463053</v>
      </c>
      <c r="F159" s="102">
        <f ca="1">F$160+($C159-Inputs!$E$20)*F$161</f>
        <v>-8936.023857645383</v>
      </c>
      <c r="G159" s="102">
        <f ca="1">G$160+($C159-Inputs!$E$20)*G$161</f>
        <v>-8985.1465849106316</v>
      </c>
      <c r="H159" s="102">
        <f ca="1">H$160+($C159-Inputs!$E$20)*H$161</f>
        <v>-9220.7628178487394</v>
      </c>
      <c r="J159" s="66"/>
      <c r="K159" s="66"/>
      <c r="L159" s="66"/>
      <c r="M159" s="66"/>
      <c r="N159" s="66"/>
      <c r="O159" s="66"/>
      <c r="P159" s="66"/>
      <c r="Q159" s="66"/>
    </row>
    <row r="160" spans="1:22" ht="15.6">
      <c r="B160" s="47"/>
      <c r="D160" s="74">
        <f ca="1">SUMPRODUCT(Model!$D$107:$AA$107/(1+D$153)^((Model!$D$8:$AA$8-Model!$D$8)/365))</f>
        <v>-18807.239868347904</v>
      </c>
      <c r="E160" s="74">
        <f ca="1">SUMPRODUCT(Model!$D$107:$AA$107/(1+E$153)^((Model!$D$8:$AA$8-Model!$D$8)/365))</f>
        <v>-20523.178447621573</v>
      </c>
      <c r="F160" s="74">
        <f ca="1">SUMPRODUCT(Model!$D$107:$AA$107/(1+F$153)^((Model!$D$8:$AA$8-Model!$D$8)/365))</f>
        <v>-21292.395679333098</v>
      </c>
      <c r="G160" s="74">
        <f ca="1">SUMPRODUCT(Model!$D$107:$AA$107/(1+G$153)^((Model!$D$8:$AA$8-Model!$D$8)/365))</f>
        <v>-21521.101982882581</v>
      </c>
      <c r="H160" s="74">
        <f ca="1">SUMPRODUCT(Model!$D$107:$AA$107/(1+H$153)^((Model!$D$8:$AA$8-Model!$D$8)/365))</f>
        <v>-22633.023722528218</v>
      </c>
      <c r="J160" s="67"/>
      <c r="K160" s="67"/>
      <c r="L160" s="67"/>
      <c r="M160" s="67"/>
      <c r="N160" s="67"/>
      <c r="O160" s="67"/>
      <c r="P160" s="67"/>
      <c r="Q160" s="67"/>
    </row>
    <row r="161" spans="2:22">
      <c r="D161" s="74">
        <f>SUMPRODUCT((YEAR(Model!$D$8:$AA$8)=2024)/(1+D$153)^((Model!$D$8:$AA$8-Model!$D$8)/365))</f>
        <v>8.6844371261670084</v>
      </c>
      <c r="E161" s="74">
        <f>SUMPRODUCT((YEAR(Model!$D$8:$AA$8)=2024)/(1+E$153)^((Model!$D$8:$AA$8-Model!$D$8)/365))</f>
        <v>9.7951085002293894</v>
      </c>
      <c r="F161" s="74">
        <f>SUMPRODUCT((YEAR(Model!$D$8:$AA$8)=2024)/(1+F$153)^((Model!$D$8:$AA$8-Model!$D$8)/365))</f>
        <v>10.296976518073096</v>
      </c>
      <c r="G161" s="74">
        <f>SUMPRODUCT((YEAR(Model!$D$8:$AA$8)=2024)/(1+G$153)^((Model!$D$8:$AA$8-Model!$D$8)/365))</f>
        <v>10.446629498309958</v>
      </c>
      <c r="H161" s="74">
        <f>SUMPRODUCT((YEAR(Model!$D$8:$AA$8)=2024)/(1+H$153)^((Model!$D$8:$AA$8-Model!$D$8)/365))</f>
        <v>11.176884087232899</v>
      </c>
      <c r="J161" s="187"/>
      <c r="K161" s="187"/>
      <c r="L161" s="187"/>
      <c r="M161" s="187"/>
      <c r="N161" s="187"/>
      <c r="O161" s="187"/>
      <c r="P161" s="187"/>
      <c r="Q161" s="187"/>
    </row>
    <row r="162" spans="2:22" ht="48.6" customHeight="1" outlineLevel="1">
      <c r="B162" s="185" t="s">
        <v>205</v>
      </c>
      <c r="C162" s="185"/>
      <c r="D162" s="185"/>
      <c r="E162" s="185"/>
      <c r="F162" s="185"/>
      <c r="G162" s="185"/>
      <c r="H162" s="185"/>
      <c r="I162" s="185"/>
      <c r="J162" s="185"/>
      <c r="K162" s="185"/>
      <c r="L162" s="185"/>
      <c r="M162" s="185"/>
      <c r="N162" s="185"/>
      <c r="O162" s="185"/>
      <c r="P162" s="185"/>
      <c r="V162" s="137"/>
    </row>
    <row r="164" spans="2:22">
      <c r="O164" s="88"/>
      <c r="P164" s="88"/>
    </row>
    <row r="165" spans="2:22" ht="15.6">
      <c r="B165" s="44" t="s">
        <v>191</v>
      </c>
      <c r="C165" s="44"/>
      <c r="D165" s="35"/>
      <c r="E165" s="35"/>
      <c r="F165" s="35"/>
      <c r="G165" s="61"/>
      <c r="H165" s="62"/>
      <c r="J165" s="88"/>
      <c r="K165" s="189" t="s">
        <v>92</v>
      </c>
      <c r="L165" s="189"/>
      <c r="M165" s="189"/>
      <c r="N165" s="189"/>
      <c r="O165" s="189"/>
      <c r="P165" s="189"/>
      <c r="Q165" s="189"/>
      <c r="R165" s="66"/>
      <c r="S165" s="66"/>
      <c r="T165" s="66"/>
      <c r="U165" s="66"/>
      <c r="V165" s="66"/>
    </row>
    <row r="167" spans="2:22">
      <c r="E167" s="89" t="s">
        <v>8</v>
      </c>
      <c r="F167" s="89" t="s">
        <v>57</v>
      </c>
      <c r="G167" s="89" t="s">
        <v>178</v>
      </c>
      <c r="H167" s="89" t="s">
        <v>83</v>
      </c>
    </row>
    <row r="169" spans="2:22" ht="15.6">
      <c r="B169" s="36" t="s">
        <v>30</v>
      </c>
      <c r="E169" s="102">
        <f>SUM(Model!$P$35:$AA$35)</f>
        <v>2686.2989999999995</v>
      </c>
      <c r="F169" s="102">
        <f>-SUM(Model!P46:AA46)</f>
        <v>1831.5674999999997</v>
      </c>
      <c r="G169" s="102">
        <f>-SUM(Model!P68:AA68)</f>
        <v>4542.72</v>
      </c>
      <c r="H169" s="102">
        <f>E169-F169-G169</f>
        <v>-3687.9885000000004</v>
      </c>
    </row>
    <row r="170" spans="2:22" ht="15.6">
      <c r="B170" s="36" t="s">
        <v>43</v>
      </c>
      <c r="E170" s="102">
        <f>SUM(Model!$P$36:$AA$36)</f>
        <v>2075.7764999999999</v>
      </c>
      <c r="F170" s="102">
        <f>-SUM(Model!P47:AA47)</f>
        <v>1318.7285999999999</v>
      </c>
      <c r="G170" s="102">
        <f>-SUM(Model!P69:AA69)</f>
        <v>3319.6800000000003</v>
      </c>
      <c r="H170" s="102">
        <f t="shared" ref="H170:H175" si="2">E170-F170-G170</f>
        <v>-2562.6321000000003</v>
      </c>
    </row>
    <row r="171" spans="2:22" ht="15.6">
      <c r="B171" s="36" t="s">
        <v>31</v>
      </c>
      <c r="E171" s="102">
        <f>SUM(Model!$P$37:$AA$37)</f>
        <v>2197.8809999999999</v>
      </c>
      <c r="F171" s="102">
        <f>-SUM(Model!P48:AA48)</f>
        <v>1465.2539999999997</v>
      </c>
      <c r="G171" s="102">
        <f>-SUM(Model!P70:AA70)</f>
        <v>2970.2400000000007</v>
      </c>
      <c r="H171" s="102">
        <f t="shared" si="2"/>
        <v>-2237.6130000000003</v>
      </c>
    </row>
    <row r="172" spans="2:22" ht="15.6">
      <c r="B172" s="36" t="s">
        <v>32</v>
      </c>
      <c r="E172" s="102">
        <f>SUM(Model!$P$38:$AA$38)</f>
        <v>1831.5674999999997</v>
      </c>
      <c r="F172" s="102">
        <f>-SUM(Model!P49:AA49)</f>
        <v>1025.6777999999999</v>
      </c>
      <c r="G172" s="102">
        <f>-SUM(Model!P71:AA71)</f>
        <v>2446.0800000000008</v>
      </c>
      <c r="H172" s="102">
        <f t="shared" si="2"/>
        <v>-1640.1903000000011</v>
      </c>
    </row>
    <row r="173" spans="2:22" ht="15.6">
      <c r="B173" s="36" t="s">
        <v>33</v>
      </c>
      <c r="E173" s="102">
        <f>SUM(Model!$P$39:$AA$39)</f>
        <v>1587.3585</v>
      </c>
      <c r="F173" s="102">
        <f>-SUM(Model!P50:AA50)</f>
        <v>586.10159999999996</v>
      </c>
      <c r="G173" s="102">
        <f>-SUM(Model!P72:AA72)</f>
        <v>1747.1999999999998</v>
      </c>
      <c r="H173" s="102">
        <f t="shared" si="2"/>
        <v>-745.94309999999973</v>
      </c>
    </row>
    <row r="174" spans="2:22" ht="15.6">
      <c r="B174" s="36" t="s">
        <v>34</v>
      </c>
      <c r="E174" s="102">
        <f>SUM(Model!$P$40:$AA$40)</f>
        <v>1831.5674999999997</v>
      </c>
      <c r="F174" s="102">
        <f>-SUM(Model!P51:AA51)</f>
        <v>879.15239999999983</v>
      </c>
      <c r="G174" s="102">
        <f>-SUM(Model!P73:AA73)</f>
        <v>2096.64</v>
      </c>
      <c r="H174" s="102">
        <f t="shared" si="2"/>
        <v>-1144.2249000000002</v>
      </c>
    </row>
    <row r="175" spans="2:22" ht="15.6">
      <c r="B175" s="36" t="s">
        <v>35</v>
      </c>
      <c r="E175" s="102">
        <f>SUM(Model!$P$41:$AA$41)</f>
        <v>0</v>
      </c>
      <c r="F175" s="102">
        <f>-SUM(Model!P52:AA52)</f>
        <v>219.78809999999996</v>
      </c>
      <c r="G175" s="102">
        <f>-SUM(Model!P74:AA74)</f>
        <v>349.44000000000005</v>
      </c>
      <c r="H175" s="102">
        <f t="shared" si="2"/>
        <v>-569.22810000000004</v>
      </c>
    </row>
    <row r="176" spans="2:22" ht="15.6">
      <c r="B176" s="36"/>
    </row>
    <row r="177" spans="1:22">
      <c r="B177" s="183" t="s">
        <v>192</v>
      </c>
      <c r="C177" s="184"/>
      <c r="D177" s="184"/>
      <c r="E177" s="184"/>
      <c r="F177" s="184"/>
      <c r="G177" s="184"/>
      <c r="H177" s="184"/>
      <c r="I177" s="184"/>
      <c r="J177" s="184"/>
      <c r="K177" s="184"/>
      <c r="L177" s="184"/>
      <c r="M177" s="184"/>
      <c r="N177" s="184"/>
      <c r="O177" s="184"/>
      <c r="P177" s="184"/>
    </row>
    <row r="178" spans="1:22">
      <c r="B178" s="183" t="s">
        <v>193</v>
      </c>
      <c r="C178" s="184"/>
      <c r="D178" s="184"/>
      <c r="E178" s="184"/>
      <c r="F178" s="184"/>
      <c r="G178" s="184"/>
      <c r="H178" s="184"/>
      <c r="I178" s="184"/>
      <c r="J178" s="184"/>
      <c r="K178" s="184"/>
      <c r="L178" s="184"/>
      <c r="M178" s="184"/>
      <c r="N178" s="184"/>
      <c r="O178" s="184"/>
      <c r="P178" s="184"/>
      <c r="Q178" s="66"/>
      <c r="R178" s="66"/>
      <c r="S178" s="66"/>
      <c r="T178" s="66"/>
      <c r="U178" s="66"/>
      <c r="V178" s="66"/>
    </row>
    <row r="179" spans="1:22">
      <c r="B179" s="183" t="s">
        <v>194</v>
      </c>
      <c r="C179" s="184"/>
      <c r="D179" s="184"/>
      <c r="E179" s="184"/>
      <c r="F179" s="184"/>
      <c r="G179" s="184"/>
      <c r="H179" s="184"/>
      <c r="I179" s="184"/>
      <c r="J179" s="184"/>
      <c r="K179" s="184"/>
      <c r="L179" s="184"/>
      <c r="M179" s="184"/>
      <c r="N179" s="184"/>
      <c r="O179" s="184"/>
      <c r="P179" s="184"/>
    </row>
    <row r="180" spans="1:22">
      <c r="B180" s="183" t="s">
        <v>195</v>
      </c>
      <c r="C180" s="184"/>
      <c r="D180" s="184"/>
      <c r="E180" s="184"/>
      <c r="F180" s="184"/>
      <c r="G180" s="184"/>
      <c r="H180" s="184"/>
      <c r="I180" s="184"/>
      <c r="J180" s="184"/>
      <c r="K180" s="184"/>
      <c r="L180" s="184"/>
      <c r="M180" s="184"/>
      <c r="N180" s="184"/>
      <c r="O180" s="184"/>
      <c r="P180" s="184"/>
    </row>
    <row r="181" spans="1:22" ht="15.6">
      <c r="B181" s="36"/>
    </row>
    <row r="182" spans="1:22" ht="15.6">
      <c r="B182" s="36"/>
    </row>
    <row r="186" spans="1:22" ht="52.8" customHeight="1" outlineLevel="1">
      <c r="B186" s="185" t="s">
        <v>206</v>
      </c>
      <c r="C186" s="185"/>
      <c r="D186" s="185"/>
      <c r="E186" s="185"/>
      <c r="F186" s="185"/>
      <c r="G186" s="185"/>
      <c r="H186" s="185"/>
      <c r="I186" s="185"/>
      <c r="J186" s="185"/>
      <c r="K186" s="185"/>
      <c r="L186" s="185"/>
      <c r="M186" s="185"/>
      <c r="N186" s="185"/>
      <c r="O186" s="185"/>
      <c r="P186" s="185"/>
    </row>
    <row r="188" spans="1:22" ht="15.6">
      <c r="A188" s="28"/>
      <c r="B188" s="41"/>
      <c r="C188" s="41"/>
      <c r="F188" s="28"/>
      <c r="G188" s="41"/>
      <c r="H188" s="41"/>
    </row>
    <row r="190" spans="1:22" ht="15.6">
      <c r="K190" s="28"/>
      <c r="L190" s="28"/>
      <c r="M190" s="41"/>
      <c r="N190" s="41"/>
    </row>
    <row r="191" spans="1:22" ht="15.6">
      <c r="K191" s="41"/>
      <c r="L191" s="41"/>
      <c r="M191" s="41"/>
      <c r="N191" s="41"/>
    </row>
    <row r="192" spans="1:22" ht="15.6">
      <c r="K192" s="12"/>
      <c r="L192" s="12"/>
      <c r="M192" s="12"/>
      <c r="N192" s="12"/>
    </row>
    <row r="195" spans="1:8" ht="15.6">
      <c r="A195" s="28"/>
      <c r="B195" s="41"/>
      <c r="C195" s="41"/>
      <c r="F195" s="28"/>
      <c r="G195" s="41"/>
      <c r="H195" s="41"/>
    </row>
    <row r="202" spans="1:8">
      <c r="B202" s="63"/>
      <c r="C202" s="63"/>
    </row>
  </sheetData>
  <mergeCells count="28">
    <mergeCell ref="K165:Q165"/>
    <mergeCell ref="T155:U155"/>
    <mergeCell ref="B80:R80"/>
    <mergeCell ref="B113:R113"/>
    <mergeCell ref="O157:S157"/>
    <mergeCell ref="T157:U157"/>
    <mergeCell ref="O151:S151"/>
    <mergeCell ref="T151:U151"/>
    <mergeCell ref="O153:S153"/>
    <mergeCell ref="T153:U153"/>
    <mergeCell ref="B162:P162"/>
    <mergeCell ref="J161:N161"/>
    <mergeCell ref="O161:Q161"/>
    <mergeCell ref="O155:S155"/>
    <mergeCell ref="R20:X20"/>
    <mergeCell ref="R144:V144"/>
    <mergeCell ref="D152:H152"/>
    <mergeCell ref="J151:N151"/>
    <mergeCell ref="B57:H57"/>
    <mergeCell ref="J20:O20"/>
    <mergeCell ref="B20:G20"/>
    <mergeCell ref="B39:R39"/>
    <mergeCell ref="L57:R57"/>
    <mergeCell ref="B177:P177"/>
    <mergeCell ref="B178:P178"/>
    <mergeCell ref="B179:P179"/>
    <mergeCell ref="B180:P180"/>
    <mergeCell ref="B186:P18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3</xdr:col>
                    <xdr:colOff>190500</xdr:colOff>
                    <xdr:row>3</xdr:row>
                    <xdr:rowOff>152400</xdr:rowOff>
                  </from>
                  <to>
                    <xdr:col>4</xdr:col>
                    <xdr:colOff>754380</xdr:colOff>
                    <xdr:row>5</xdr:row>
                    <xdr:rowOff>53340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Worksheet____3"/>
  <dimension ref="B2:S175"/>
  <sheetViews>
    <sheetView showGridLines="0" workbookViewId="0">
      <selection activeCell="G42" sqref="G42"/>
    </sheetView>
  </sheetViews>
  <sheetFormatPr defaultColWidth="8.88671875" defaultRowHeight="13.8" outlineLevelRow="1"/>
  <cols>
    <col min="1" max="1" width="9.77734375" style="2" customWidth="1"/>
    <col min="2" max="2" width="37" style="2" customWidth="1"/>
    <col min="3" max="3" width="22.33203125" style="2" customWidth="1"/>
    <col min="4" max="5" width="10.6640625" style="2" customWidth="1"/>
    <col min="6" max="16384" width="8.88671875" style="2"/>
  </cols>
  <sheetData>
    <row r="2" spans="2:19" ht="21" customHeight="1">
      <c r="B2" s="117" t="s">
        <v>16</v>
      </c>
      <c r="C2" s="18"/>
      <c r="D2" s="18"/>
      <c r="E2" s="18"/>
      <c r="F2" s="1"/>
      <c r="G2" s="119" t="s">
        <v>143</v>
      </c>
      <c r="H2" s="116"/>
      <c r="I2" s="116"/>
      <c r="J2" s="116"/>
      <c r="K2" s="116"/>
      <c r="L2" s="116"/>
      <c r="M2" s="116"/>
      <c r="N2" s="116"/>
      <c r="O2" s="116"/>
      <c r="P2" s="116"/>
      <c r="Q2" s="116"/>
      <c r="R2" s="116"/>
      <c r="S2" s="116"/>
    </row>
    <row r="3" spans="2:19">
      <c r="E3" s="1"/>
      <c r="F3" s="1"/>
      <c r="G3" s="118" t="s">
        <v>145</v>
      </c>
      <c r="H3" s="1"/>
      <c r="I3" s="1"/>
    </row>
    <row r="4" spans="2:19" ht="18" customHeight="1" thickBot="1">
      <c r="B4" s="20" t="s">
        <v>84</v>
      </c>
      <c r="C4" s="20"/>
      <c r="D4" s="30">
        <v>2023</v>
      </c>
      <c r="E4" s="30">
        <v>2024</v>
      </c>
      <c r="G4" s="118" t="s">
        <v>146</v>
      </c>
    </row>
    <row r="5" spans="2:19" ht="14.4" thickTop="1">
      <c r="G5" s="118" t="s">
        <v>144</v>
      </c>
    </row>
    <row r="6" spans="2:19" ht="14.4">
      <c r="B6" s="17" t="s">
        <v>6</v>
      </c>
      <c r="C6" s="2">
        <f>Model!D4</f>
        <v>1</v>
      </c>
      <c r="E6" s="5"/>
      <c r="F6" s="6"/>
      <c r="G6" s="6"/>
      <c r="H6" s="7"/>
      <c r="I6" s="7"/>
    </row>
    <row r="7" spans="2:19" ht="14.4">
      <c r="F7" s="6"/>
      <c r="G7" s="6"/>
      <c r="H7" s="7"/>
      <c r="I7" s="7"/>
    </row>
    <row r="8" spans="2:19" ht="14.4">
      <c r="D8" s="17"/>
      <c r="E8" s="17"/>
      <c r="F8" s="6"/>
      <c r="G8" s="6"/>
      <c r="H8" s="7"/>
      <c r="I8" s="7"/>
    </row>
    <row r="9" spans="2:19" ht="15.6">
      <c r="B9" s="2" t="s">
        <v>17</v>
      </c>
      <c r="D9" s="21">
        <f>CHOOSE($C$6,D10,D11,D12)</f>
        <v>0.03</v>
      </c>
      <c r="E9" s="22">
        <f>CHOOSE($C$6,E10,E11,E12)</f>
        <v>1.4999999999999999E-2</v>
      </c>
      <c r="F9" s="9"/>
      <c r="G9" s="9"/>
      <c r="H9" s="9"/>
      <c r="I9" s="9"/>
    </row>
    <row r="10" spans="2:19" ht="15.6">
      <c r="B10" s="1" t="s">
        <v>188</v>
      </c>
      <c r="C10" s="1"/>
      <c r="D10" s="12">
        <v>0.03</v>
      </c>
      <c r="E10" s="16">
        <v>1.4999999999999999E-2</v>
      </c>
      <c r="F10" s="10"/>
      <c r="G10" s="9"/>
      <c r="H10" s="9"/>
      <c r="I10" s="9"/>
    </row>
    <row r="11" spans="2:19" ht="15.6">
      <c r="B11" s="1" t="s">
        <v>18</v>
      </c>
      <c r="C11" s="1"/>
      <c r="D11" s="12">
        <v>0.05</v>
      </c>
      <c r="E11" s="16">
        <v>3.5000000000000003E-2</v>
      </c>
      <c r="F11" s="9"/>
      <c r="G11" s="9"/>
      <c r="H11" s="9"/>
      <c r="I11" s="9"/>
    </row>
    <row r="12" spans="2:19" ht="15.6">
      <c r="B12" s="1" t="s">
        <v>19</v>
      </c>
      <c r="C12" s="1"/>
      <c r="D12" s="12">
        <v>0.01</v>
      </c>
      <c r="E12" s="16">
        <v>-0.01</v>
      </c>
      <c r="F12" s="9"/>
      <c r="G12" s="9"/>
      <c r="H12" s="9"/>
      <c r="I12" s="9"/>
    </row>
    <row r="13" spans="2:19" ht="15.6">
      <c r="D13" s="27"/>
      <c r="E13" s="27"/>
    </row>
    <row r="14" spans="2:19" ht="15.6">
      <c r="B14" s="8" t="s">
        <v>185</v>
      </c>
      <c r="C14" s="8"/>
      <c r="D14" s="21">
        <f>CHOOSE($C$6,D15,D16,D17)</f>
        <v>2.5000000000000001E-2</v>
      </c>
      <c r="E14" s="22">
        <f>CHOOSE($C$6,E15,E16,E17)</f>
        <v>0.04</v>
      </c>
      <c r="F14" s="11"/>
      <c r="G14" s="11"/>
      <c r="H14" s="11"/>
      <c r="I14" s="11"/>
    </row>
    <row r="15" spans="2:19" ht="15.6">
      <c r="B15" s="1" t="s">
        <v>188</v>
      </c>
      <c r="C15" s="1"/>
      <c r="D15" s="12">
        <v>2.5000000000000001E-2</v>
      </c>
      <c r="E15" s="16">
        <v>0.04</v>
      </c>
      <c r="F15" s="9"/>
      <c r="G15" s="9"/>
    </row>
    <row r="16" spans="2:19" ht="15.6">
      <c r="B16" s="1" t="s">
        <v>18</v>
      </c>
      <c r="C16" s="1"/>
      <c r="D16" s="12">
        <v>1.4999999999999999E-2</v>
      </c>
      <c r="E16" s="16">
        <v>0.02</v>
      </c>
      <c r="F16" s="9"/>
      <c r="G16" s="9"/>
    </row>
    <row r="17" spans="2:9" ht="15.6">
      <c r="B17" s="1" t="s">
        <v>19</v>
      </c>
      <c r="C17" s="1"/>
      <c r="D17" s="12">
        <v>0.04</v>
      </c>
      <c r="E17" s="16">
        <v>5.5E-2</v>
      </c>
      <c r="F17" s="9"/>
      <c r="G17" s="9"/>
    </row>
    <row r="18" spans="2:9">
      <c r="F18" s="9"/>
      <c r="G18" s="9"/>
      <c r="H18" s="9"/>
      <c r="I18" s="9"/>
    </row>
    <row r="19" spans="2:9" ht="15.6">
      <c r="B19" s="8" t="s">
        <v>102</v>
      </c>
      <c r="C19" s="8"/>
      <c r="D19" s="31">
        <f>CHOOSE($C$6,D20,D21,D22)</f>
        <v>1800</v>
      </c>
      <c r="E19" s="32">
        <f>CHOOSE($C$6,E20,E21,E22)</f>
        <v>1200</v>
      </c>
      <c r="F19" s="13"/>
      <c r="G19" s="13"/>
      <c r="H19" s="13"/>
      <c r="I19" s="13"/>
    </row>
    <row r="20" spans="2:9" ht="15.6">
      <c r="B20" s="1" t="s">
        <v>188</v>
      </c>
      <c r="C20" s="1"/>
      <c r="D20" s="33">
        <f>150*12</f>
        <v>1800</v>
      </c>
      <c r="E20" s="34">
        <f>100*12</f>
        <v>1200</v>
      </c>
      <c r="F20" s="13"/>
      <c r="G20" s="13"/>
      <c r="H20" s="13"/>
      <c r="I20" s="13"/>
    </row>
    <row r="21" spans="2:9" ht="15.6">
      <c r="B21" s="1" t="s">
        <v>18</v>
      </c>
      <c r="C21" s="1"/>
      <c r="D21" s="33">
        <f>200*12</f>
        <v>2400</v>
      </c>
      <c r="E21" s="34">
        <f>200*12</f>
        <v>2400</v>
      </c>
      <c r="F21" s="13"/>
      <c r="G21" s="13"/>
      <c r="H21" s="13"/>
      <c r="I21" s="13"/>
    </row>
    <row r="22" spans="2:9" ht="15.6">
      <c r="B22" s="1" t="s">
        <v>19</v>
      </c>
      <c r="C22" s="1"/>
      <c r="D22" s="33">
        <v>0</v>
      </c>
      <c r="E22" s="34">
        <v>0</v>
      </c>
      <c r="F22" s="13"/>
      <c r="G22" s="13"/>
      <c r="H22" s="13"/>
      <c r="I22" s="13"/>
    </row>
    <row r="23" spans="2:9">
      <c r="F23" s="13"/>
      <c r="G23" s="13"/>
      <c r="H23" s="13"/>
      <c r="I23" s="13"/>
    </row>
    <row r="24" spans="2:9">
      <c r="F24" s="13"/>
      <c r="G24" s="13"/>
      <c r="H24" s="13"/>
      <c r="I24" s="13"/>
    </row>
    <row r="25" spans="2:9" ht="16.2" customHeight="1">
      <c r="B25" s="165" t="s">
        <v>20</v>
      </c>
      <c r="C25" s="38"/>
      <c r="D25" s="38"/>
      <c r="E25" s="38"/>
      <c r="F25" s="13"/>
      <c r="G25" s="13"/>
      <c r="H25" s="13"/>
      <c r="I25" s="13"/>
    </row>
    <row r="26" spans="2:9">
      <c r="B26" s="37"/>
      <c r="F26" s="13"/>
      <c r="G26" s="13"/>
      <c r="H26" s="13"/>
      <c r="I26" s="13"/>
    </row>
    <row r="27" spans="2:9" ht="15.6" outlineLevel="1">
      <c r="B27" s="2" t="s">
        <v>21</v>
      </c>
      <c r="C27" s="28">
        <v>500</v>
      </c>
      <c r="F27" s="1"/>
      <c r="G27" s="15"/>
    </row>
    <row r="28" spans="2:9" ht="15.6" outlineLevel="1">
      <c r="B28" s="2" t="s">
        <v>22</v>
      </c>
      <c r="C28" s="29">
        <v>0.15</v>
      </c>
      <c r="E28" s="15"/>
      <c r="F28" s="3"/>
      <c r="G28" s="3"/>
      <c r="H28" s="4"/>
      <c r="I28" s="4"/>
    </row>
    <row r="29" spans="2:9" ht="15.6" outlineLevel="1">
      <c r="B29" s="2" t="s">
        <v>90</v>
      </c>
      <c r="C29" s="28">
        <v>20000</v>
      </c>
      <c r="E29" s="15"/>
      <c r="F29" s="3"/>
      <c r="G29" s="3"/>
      <c r="H29" s="4"/>
      <c r="I29" s="4"/>
    </row>
    <row r="30" spans="2:9" ht="15.6" outlineLevel="1">
      <c r="C30" s="28"/>
      <c r="E30" s="15"/>
      <c r="F30" s="3"/>
      <c r="G30" s="3"/>
      <c r="H30" s="4"/>
      <c r="I30" s="4"/>
    </row>
    <row r="31" spans="2:9" ht="15" customHeight="1">
      <c r="B31" s="165" t="s">
        <v>23</v>
      </c>
      <c r="C31" s="38"/>
      <c r="D31" s="38"/>
      <c r="E31" s="38"/>
      <c r="F31" s="9"/>
      <c r="G31" s="9"/>
      <c r="H31" s="9"/>
      <c r="I31" s="9"/>
    </row>
    <row r="32" spans="2:9" ht="15.6">
      <c r="D32" s="8"/>
      <c r="E32" s="9"/>
      <c r="F32" s="9"/>
      <c r="G32" s="9"/>
      <c r="H32" s="9"/>
      <c r="I32" s="9"/>
    </row>
    <row r="33" spans="2:9" ht="15.6" outlineLevel="1">
      <c r="B33" s="2" t="s">
        <v>24</v>
      </c>
      <c r="C33" s="28">
        <v>5000</v>
      </c>
      <c r="D33" s="8"/>
      <c r="E33" s="9"/>
      <c r="F33" s="9"/>
      <c r="G33" s="9"/>
      <c r="H33" s="9"/>
      <c r="I33" s="9"/>
    </row>
    <row r="34" spans="2:9" ht="18" outlineLevel="1">
      <c r="B34" s="2" t="s">
        <v>25</v>
      </c>
      <c r="C34" s="28">
        <v>5</v>
      </c>
      <c r="D34" s="8"/>
      <c r="E34" s="14"/>
      <c r="F34" s="14"/>
      <c r="G34" s="14"/>
      <c r="H34" s="14"/>
      <c r="I34" s="14"/>
    </row>
    <row r="35" spans="2:9" ht="18" outlineLevel="1">
      <c r="B35" s="2" t="s">
        <v>26</v>
      </c>
      <c r="C35" s="29">
        <v>0.06</v>
      </c>
      <c r="D35" s="8"/>
      <c r="E35" s="14"/>
      <c r="F35" s="14"/>
      <c r="G35" s="14"/>
      <c r="H35" s="14"/>
      <c r="I35" s="14"/>
    </row>
    <row r="36" spans="2:9" ht="15.6">
      <c r="D36" s="8"/>
      <c r="E36" s="13"/>
      <c r="F36" s="13"/>
      <c r="G36" s="13"/>
      <c r="H36" s="13"/>
      <c r="I36" s="13"/>
    </row>
    <row r="37" spans="2:9" ht="15.6" customHeight="1">
      <c r="B37" s="165" t="s">
        <v>27</v>
      </c>
      <c r="C37" s="38"/>
      <c r="D37" s="38"/>
      <c r="E37" s="38"/>
      <c r="F37" s="13"/>
      <c r="G37" s="13"/>
      <c r="H37" s="13"/>
      <c r="I37" s="13"/>
    </row>
    <row r="38" spans="2:9" ht="15.6">
      <c r="D38" s="8"/>
      <c r="E38" s="13"/>
      <c r="F38" s="13"/>
      <c r="G38" s="13"/>
      <c r="H38" s="13"/>
      <c r="I38" s="13"/>
    </row>
    <row r="39" spans="2:9" ht="15.6">
      <c r="B39" s="2" t="s">
        <v>28</v>
      </c>
      <c r="C39" s="28">
        <v>10</v>
      </c>
      <c r="D39" s="8"/>
      <c r="E39" s="13"/>
      <c r="F39" s="13"/>
      <c r="G39" s="13"/>
      <c r="H39" s="13"/>
      <c r="I39" s="13"/>
    </row>
    <row r="40" spans="2:9" ht="15.6">
      <c r="C40" s="28"/>
      <c r="D40" s="8"/>
      <c r="E40" s="13"/>
      <c r="F40" s="13"/>
      <c r="G40" s="13"/>
      <c r="H40" s="13"/>
      <c r="I40" s="13"/>
    </row>
    <row r="41" spans="2:9" ht="16.2" customHeight="1">
      <c r="B41" s="165" t="s">
        <v>74</v>
      </c>
      <c r="C41" s="38"/>
      <c r="D41" s="38"/>
      <c r="E41" s="38"/>
      <c r="F41" s="13"/>
      <c r="G41" s="13"/>
      <c r="H41" s="13"/>
      <c r="I41" s="13"/>
    </row>
    <row r="42" spans="2:9" ht="15.6">
      <c r="C42" s="28"/>
      <c r="D42" s="8"/>
      <c r="E42" s="13"/>
      <c r="F42" s="13"/>
      <c r="G42" s="13"/>
      <c r="H42" s="13"/>
      <c r="I42" s="13"/>
    </row>
    <row r="43" spans="2:9" ht="15.6">
      <c r="B43" s="2" t="s">
        <v>70</v>
      </c>
      <c r="C43" s="28">
        <v>15</v>
      </c>
      <c r="D43" s="8"/>
      <c r="E43" s="13"/>
      <c r="F43" s="13"/>
      <c r="G43" s="13"/>
      <c r="H43" s="13"/>
      <c r="I43" s="13"/>
    </row>
    <row r="44" spans="2:9" ht="15.6">
      <c r="B44" s="2" t="s">
        <v>71</v>
      </c>
      <c r="C44" s="28">
        <v>20</v>
      </c>
      <c r="D44" s="8"/>
      <c r="E44" s="13"/>
      <c r="F44" s="13"/>
      <c r="G44" s="13"/>
      <c r="H44" s="13"/>
      <c r="I44" s="13"/>
    </row>
    <row r="45" spans="2:9" ht="15.6">
      <c r="B45" s="2" t="s">
        <v>72</v>
      </c>
      <c r="C45" s="28">
        <v>10</v>
      </c>
      <c r="D45" s="8"/>
      <c r="E45" s="13"/>
      <c r="F45" s="13"/>
      <c r="G45" s="13"/>
      <c r="H45" s="13"/>
      <c r="I45" s="13"/>
    </row>
    <row r="46" spans="2:9" ht="15.6">
      <c r="B46" s="2" t="s">
        <v>73</v>
      </c>
      <c r="C46" s="29">
        <v>0.05</v>
      </c>
      <c r="D46" s="8"/>
      <c r="E46" s="13"/>
      <c r="F46" s="13"/>
      <c r="G46" s="13"/>
      <c r="H46" s="13"/>
      <c r="I46" s="13"/>
    </row>
    <row r="47" spans="2:9" ht="15.6">
      <c r="C47" s="29"/>
      <c r="D47" s="8"/>
      <c r="E47" s="13"/>
      <c r="F47" s="13"/>
      <c r="G47" s="13"/>
      <c r="H47" s="13"/>
      <c r="I47" s="13"/>
    </row>
    <row r="48" spans="2:9" ht="17.399999999999999" customHeight="1">
      <c r="B48" s="165" t="s">
        <v>29</v>
      </c>
      <c r="C48" s="38"/>
      <c r="D48" s="38"/>
      <c r="E48" s="38"/>
      <c r="F48" s="9"/>
      <c r="G48" s="13"/>
      <c r="H48" s="9"/>
      <c r="I48" s="9"/>
    </row>
    <row r="49" spans="2:10" ht="15.6">
      <c r="D49" s="8"/>
      <c r="E49" s="9"/>
      <c r="F49" s="9"/>
      <c r="G49" s="9"/>
      <c r="H49" s="9"/>
      <c r="I49" s="9"/>
    </row>
    <row r="50" spans="2:10" ht="15.6">
      <c r="B50" s="36" t="s">
        <v>30</v>
      </c>
      <c r="D50" s="21">
        <f>CHOOSE($C$6,D51,D52,D53)</f>
        <v>0.25</v>
      </c>
      <c r="E50" s="22">
        <f>CHOOSE($C$6,E51,E52,E53)</f>
        <v>0.22</v>
      </c>
      <c r="F50" s="9"/>
      <c r="G50" s="9"/>
      <c r="H50" s="9"/>
      <c r="I50" s="9"/>
    </row>
    <row r="51" spans="2:10" ht="15.6">
      <c r="B51" s="1" t="s">
        <v>188</v>
      </c>
      <c r="D51" s="12">
        <v>0.25</v>
      </c>
      <c r="E51" s="16">
        <v>0.22</v>
      </c>
      <c r="F51" s="9"/>
      <c r="G51" s="9"/>
      <c r="H51" s="9"/>
      <c r="I51" s="9"/>
    </row>
    <row r="52" spans="2:10" ht="15.6">
      <c r="B52" s="1" t="s">
        <v>18</v>
      </c>
      <c r="D52" s="12">
        <v>0.26</v>
      </c>
      <c r="E52" s="16">
        <v>0.24</v>
      </c>
      <c r="F52" s="9"/>
      <c r="G52" s="9"/>
      <c r="H52" s="9"/>
      <c r="I52" s="9"/>
    </row>
    <row r="53" spans="2:10" ht="15.6">
      <c r="B53" s="1" t="s">
        <v>19</v>
      </c>
      <c r="D53" s="12">
        <v>0.2</v>
      </c>
      <c r="E53" s="16">
        <v>0.18</v>
      </c>
      <c r="F53" s="9"/>
      <c r="G53" s="9"/>
      <c r="H53" s="9"/>
      <c r="I53" s="9"/>
    </row>
    <row r="54" spans="2:10" ht="15.6">
      <c r="B54" s="36"/>
      <c r="D54" s="27"/>
      <c r="E54" s="27"/>
      <c r="F54" s="9"/>
      <c r="G54" s="9"/>
      <c r="H54" s="9"/>
      <c r="I54" s="9"/>
    </row>
    <row r="55" spans="2:10" ht="15.6">
      <c r="B55" s="36" t="s">
        <v>43</v>
      </c>
      <c r="D55" s="21">
        <f>CHOOSE($C$6,D56,D57,D58)</f>
        <v>0.2</v>
      </c>
      <c r="E55" s="22">
        <f>CHOOSE($C$6,E56,E57,E58)</f>
        <v>0.17</v>
      </c>
      <c r="F55" s="9"/>
      <c r="G55" s="9"/>
      <c r="H55" s="9"/>
      <c r="I55" s="9"/>
    </row>
    <row r="56" spans="2:10" ht="15.6">
      <c r="B56" s="1" t="s">
        <v>188</v>
      </c>
      <c r="C56" s="23"/>
      <c r="D56" s="12">
        <v>0.2</v>
      </c>
      <c r="E56" s="16">
        <v>0.17</v>
      </c>
      <c r="F56" s="25"/>
      <c r="G56" s="25"/>
      <c r="H56" s="25"/>
      <c r="I56" s="25"/>
      <c r="J56" s="23"/>
    </row>
    <row r="57" spans="2:10" ht="15.6">
      <c r="B57" s="1" t="s">
        <v>18</v>
      </c>
      <c r="C57" s="23"/>
      <c r="D57" s="12">
        <v>0.21</v>
      </c>
      <c r="E57" s="16">
        <v>0.2</v>
      </c>
      <c r="F57" s="25"/>
      <c r="G57" s="25"/>
      <c r="H57" s="25"/>
      <c r="I57" s="25"/>
      <c r="J57" s="23"/>
    </row>
    <row r="58" spans="2:10" ht="15.6">
      <c r="B58" s="1" t="s">
        <v>19</v>
      </c>
      <c r="C58" s="23"/>
      <c r="D58" s="12">
        <v>0.15</v>
      </c>
      <c r="E58" s="16">
        <v>0.13</v>
      </c>
      <c r="F58" s="25"/>
      <c r="G58" s="25"/>
      <c r="H58" s="25"/>
      <c r="I58" s="25"/>
      <c r="J58" s="23"/>
    </row>
    <row r="59" spans="2:10" ht="15.6">
      <c r="B59" s="36"/>
      <c r="C59" s="23"/>
      <c r="F59" s="25"/>
      <c r="G59" s="25"/>
      <c r="H59" s="25"/>
      <c r="I59" s="25"/>
      <c r="J59" s="23"/>
    </row>
    <row r="60" spans="2:10" ht="15.6">
      <c r="B60" s="36" t="s">
        <v>31</v>
      </c>
      <c r="C60" s="23"/>
      <c r="D60" s="21">
        <f>CHOOSE($C$6,D61,D62,D63)</f>
        <v>0.18</v>
      </c>
      <c r="E60" s="22">
        <f>CHOOSE($C$6,E61,E62,E63)</f>
        <v>0.18</v>
      </c>
      <c r="F60" s="25"/>
      <c r="G60" s="25"/>
      <c r="H60" s="25"/>
      <c r="I60" s="25"/>
      <c r="J60" s="23"/>
    </row>
    <row r="61" spans="2:10" ht="15.6">
      <c r="B61" s="1" t="s">
        <v>188</v>
      </c>
      <c r="C61" s="23"/>
      <c r="D61" s="12">
        <v>0.18</v>
      </c>
      <c r="E61" s="16">
        <v>0.18</v>
      </c>
      <c r="F61" s="25"/>
      <c r="G61" s="25"/>
      <c r="H61" s="25"/>
      <c r="I61" s="25"/>
      <c r="J61" s="23"/>
    </row>
    <row r="62" spans="2:10" ht="15.6">
      <c r="B62" s="1" t="s">
        <v>18</v>
      </c>
      <c r="C62" s="23"/>
      <c r="D62" s="12">
        <v>0.18</v>
      </c>
      <c r="E62" s="16">
        <v>0.18</v>
      </c>
      <c r="F62" s="25"/>
      <c r="G62" s="25"/>
      <c r="H62" s="25"/>
      <c r="I62" s="25"/>
      <c r="J62" s="23"/>
    </row>
    <row r="63" spans="2:10" ht="15.6">
      <c r="B63" s="1" t="s">
        <v>19</v>
      </c>
      <c r="C63" s="23"/>
      <c r="D63" s="12">
        <v>0.2</v>
      </c>
      <c r="E63" s="16">
        <v>0.22</v>
      </c>
      <c r="F63" s="25"/>
      <c r="G63" s="25"/>
      <c r="H63" s="25"/>
      <c r="I63" s="25"/>
      <c r="J63" s="23"/>
    </row>
    <row r="64" spans="2:10" ht="14.4">
      <c r="C64" s="23"/>
      <c r="D64" s="24"/>
      <c r="E64" s="25"/>
      <c r="F64" s="25"/>
      <c r="G64" s="25"/>
      <c r="H64" s="25"/>
      <c r="I64" s="25"/>
      <c r="J64" s="23"/>
    </row>
    <row r="65" spans="2:10" ht="15.6">
      <c r="B65" s="36" t="s">
        <v>32</v>
      </c>
      <c r="C65" s="23"/>
      <c r="D65" s="21">
        <f>CHOOSE($C$6,D66,D67,D68)</f>
        <v>0.15</v>
      </c>
      <c r="E65" s="22">
        <f>CHOOSE($C$6,E66,E67,E68)</f>
        <v>0.15</v>
      </c>
      <c r="F65" s="26"/>
      <c r="G65" s="26"/>
      <c r="H65" s="26"/>
      <c r="I65" s="26"/>
      <c r="J65" s="23"/>
    </row>
    <row r="66" spans="2:10" ht="15.6">
      <c r="B66" s="1" t="s">
        <v>188</v>
      </c>
      <c r="C66" s="23"/>
      <c r="D66" s="12">
        <v>0.15</v>
      </c>
      <c r="E66" s="16">
        <v>0.15</v>
      </c>
      <c r="F66" s="26"/>
      <c r="G66" s="26"/>
      <c r="H66" s="26"/>
      <c r="I66" s="26"/>
      <c r="J66" s="23"/>
    </row>
    <row r="67" spans="2:10" ht="15.6">
      <c r="B67" s="1" t="s">
        <v>18</v>
      </c>
      <c r="C67" s="23"/>
      <c r="D67" s="12">
        <v>0.15</v>
      </c>
      <c r="E67" s="16">
        <v>0.15</v>
      </c>
      <c r="F67" s="26"/>
      <c r="G67" s="26"/>
      <c r="H67" s="26"/>
      <c r="I67" s="26"/>
      <c r="J67" s="23"/>
    </row>
    <row r="68" spans="2:10" ht="15.6">
      <c r="B68" s="1" t="s">
        <v>19</v>
      </c>
      <c r="C68" s="23"/>
      <c r="D68" s="12">
        <v>0.18</v>
      </c>
      <c r="E68" s="16">
        <v>0.2</v>
      </c>
      <c r="F68" s="26"/>
      <c r="G68" s="26"/>
      <c r="H68" s="26"/>
      <c r="I68" s="26"/>
      <c r="J68" s="23"/>
    </row>
    <row r="69" spans="2:10" ht="15.6">
      <c r="B69" s="36"/>
      <c r="C69" s="23"/>
      <c r="D69" s="27"/>
      <c r="E69" s="27"/>
      <c r="F69" s="26"/>
      <c r="G69" s="26"/>
      <c r="H69" s="26"/>
      <c r="I69" s="26"/>
      <c r="J69" s="23"/>
    </row>
    <row r="70" spans="2:10" ht="15.6">
      <c r="B70" s="36" t="s">
        <v>33</v>
      </c>
      <c r="C70" s="23"/>
      <c r="D70" s="21">
        <f>CHOOSE($C$6,D71,D72,D73)</f>
        <v>0.12</v>
      </c>
      <c r="E70" s="22">
        <f>CHOOSE($C$6,E71,E72,E73)</f>
        <v>0.13</v>
      </c>
      <c r="F70" s="26"/>
      <c r="G70" s="26"/>
      <c r="H70" s="26"/>
      <c r="I70" s="26"/>
      <c r="J70" s="23"/>
    </row>
    <row r="71" spans="2:10" ht="15.6">
      <c r="B71" s="1" t="s">
        <v>188</v>
      </c>
      <c r="C71" s="23"/>
      <c r="D71" s="12">
        <v>0.12</v>
      </c>
      <c r="E71" s="16">
        <v>0.13</v>
      </c>
      <c r="F71" s="26"/>
      <c r="G71" s="26"/>
      <c r="H71" s="26"/>
      <c r="I71" s="26"/>
      <c r="J71" s="23"/>
    </row>
    <row r="72" spans="2:10" ht="15.6">
      <c r="B72" s="1" t="s">
        <v>18</v>
      </c>
      <c r="C72" s="23"/>
      <c r="D72" s="12">
        <v>0.12</v>
      </c>
      <c r="E72" s="16">
        <v>0.13</v>
      </c>
      <c r="F72" s="26"/>
      <c r="G72" s="26"/>
      <c r="H72" s="26"/>
      <c r="I72" s="26"/>
      <c r="J72" s="23"/>
    </row>
    <row r="73" spans="2:10" ht="15.6">
      <c r="B73" s="1" t="s">
        <v>19</v>
      </c>
      <c r="C73" s="23"/>
      <c r="D73" s="12">
        <v>0.12</v>
      </c>
      <c r="E73" s="16">
        <v>0.12</v>
      </c>
      <c r="F73" s="26"/>
      <c r="G73" s="26"/>
      <c r="H73" s="26"/>
      <c r="I73" s="26"/>
      <c r="J73" s="23"/>
    </row>
    <row r="74" spans="2:10" ht="15.6">
      <c r="B74" s="36"/>
      <c r="C74" s="23"/>
      <c r="F74" s="23"/>
      <c r="G74" s="23"/>
      <c r="H74" s="23"/>
      <c r="I74" s="23"/>
      <c r="J74" s="23"/>
    </row>
    <row r="75" spans="2:10" ht="15.6">
      <c r="B75" s="36" t="s">
        <v>34</v>
      </c>
      <c r="C75" s="23"/>
      <c r="D75" s="21">
        <f>CHOOSE($C$6,D76,D77,D78)</f>
        <v>0.1</v>
      </c>
      <c r="E75" s="22">
        <f>CHOOSE($C$6,E76,E77,E78)</f>
        <v>0.15</v>
      </c>
      <c r="F75" s="23"/>
      <c r="G75" s="23"/>
      <c r="H75" s="23"/>
      <c r="I75" s="23"/>
      <c r="J75" s="23"/>
    </row>
    <row r="76" spans="2:10" ht="15.6">
      <c r="B76" s="1" t="s">
        <v>188</v>
      </c>
      <c r="C76" s="23"/>
      <c r="D76" s="12">
        <v>0.1</v>
      </c>
      <c r="E76" s="16">
        <v>0.15</v>
      </c>
      <c r="F76" s="23"/>
      <c r="G76" s="23"/>
      <c r="H76" s="23"/>
      <c r="I76" s="23"/>
      <c r="J76" s="23"/>
    </row>
    <row r="77" spans="2:10" ht="15.6">
      <c r="B77" s="1" t="s">
        <v>18</v>
      </c>
      <c r="C77" s="23"/>
      <c r="D77" s="12">
        <v>0.08</v>
      </c>
      <c r="E77" s="16">
        <v>0.1</v>
      </c>
      <c r="F77" s="23"/>
      <c r="G77" s="23"/>
      <c r="H77" s="23"/>
      <c r="I77" s="23"/>
      <c r="J77" s="23"/>
    </row>
    <row r="78" spans="2:10" ht="15.6">
      <c r="B78" s="1" t="s">
        <v>19</v>
      </c>
      <c r="C78" s="23"/>
      <c r="D78" s="12">
        <v>0.15</v>
      </c>
      <c r="E78" s="16">
        <v>0.15</v>
      </c>
      <c r="F78" s="23"/>
      <c r="G78" s="23"/>
      <c r="H78" s="23"/>
      <c r="I78" s="23"/>
      <c r="J78" s="23"/>
    </row>
    <row r="79" spans="2:10" ht="15.6">
      <c r="B79" s="36"/>
      <c r="C79" s="23"/>
      <c r="D79" s="23"/>
      <c r="E79" s="23"/>
      <c r="F79" s="23"/>
      <c r="G79" s="23"/>
      <c r="H79" s="23"/>
      <c r="I79" s="23"/>
      <c r="J79" s="23"/>
    </row>
    <row r="80" spans="2:10" ht="15.6">
      <c r="B80" s="36" t="s">
        <v>35</v>
      </c>
      <c r="D80" s="21">
        <f>CHOOSE($C$6,D81,D82,D83)</f>
        <v>0</v>
      </c>
      <c r="E80" s="22">
        <f>CHOOSE($C$6,E81,E82,E83)</f>
        <v>0</v>
      </c>
    </row>
    <row r="81" spans="2:5" ht="15.6">
      <c r="B81" s="1" t="s">
        <v>188</v>
      </c>
      <c r="D81" s="12">
        <v>0</v>
      </c>
      <c r="E81" s="16">
        <v>0</v>
      </c>
    </row>
    <row r="82" spans="2:5" ht="15.6">
      <c r="B82" s="1" t="s">
        <v>18</v>
      </c>
      <c r="D82" s="12">
        <v>0</v>
      </c>
      <c r="E82" s="16">
        <v>0</v>
      </c>
    </row>
    <row r="83" spans="2:5" ht="15.6">
      <c r="B83" s="1" t="s">
        <v>19</v>
      </c>
      <c r="D83" s="12">
        <v>0</v>
      </c>
      <c r="E83" s="16">
        <v>0</v>
      </c>
    </row>
    <row r="84" spans="2:5" ht="16.2" customHeight="1">
      <c r="B84" s="1"/>
      <c r="D84" s="12"/>
      <c r="E84" s="16"/>
    </row>
    <row r="85" spans="2:5" ht="16.2" customHeight="1">
      <c r="B85" s="55" t="s">
        <v>188</v>
      </c>
      <c r="D85" s="56">
        <f>D51+D56+D61+D66+D71+D76+D81</f>
        <v>1</v>
      </c>
      <c r="E85" s="56">
        <f>E51+E56+E61+E66+E71+E76+E81</f>
        <v>1</v>
      </c>
    </row>
    <row r="86" spans="2:5" ht="16.2" customHeight="1">
      <c r="B86" s="55" t="s">
        <v>18</v>
      </c>
      <c r="D86" s="56">
        <f t="shared" ref="D86:E87" si="0">D52+D57+D62+D67+D72+D77+D82</f>
        <v>0.99999999999999989</v>
      </c>
      <c r="E86" s="56">
        <f t="shared" si="0"/>
        <v>1</v>
      </c>
    </row>
    <row r="87" spans="2:5" ht="16.2" customHeight="1">
      <c r="B87" s="55" t="s">
        <v>19</v>
      </c>
      <c r="D87" s="56">
        <f t="shared" si="0"/>
        <v>1</v>
      </c>
      <c r="E87" s="56">
        <f t="shared" si="0"/>
        <v>1</v>
      </c>
    </row>
    <row r="88" spans="2:5" ht="16.2" customHeight="1">
      <c r="B88" s="55"/>
      <c r="D88" s="56"/>
      <c r="E88" s="56"/>
    </row>
    <row r="89" spans="2:5" ht="16.2" customHeight="1">
      <c r="B89" s="35" t="s">
        <v>105</v>
      </c>
      <c r="C89" s="38"/>
      <c r="D89" s="38"/>
      <c r="E89" s="38"/>
    </row>
    <row r="90" spans="2:5" ht="16.2" customHeight="1"/>
    <row r="91" spans="2:5" ht="16.2" customHeight="1">
      <c r="B91" s="36" t="s">
        <v>30</v>
      </c>
      <c r="D91" s="21">
        <f>CHOOSE($C$6,D92,D93,D94)</f>
        <v>0.27</v>
      </c>
      <c r="E91" s="22">
        <f>CHOOSE($C$6,E92,E93,E94)</f>
        <v>0.25</v>
      </c>
    </row>
    <row r="92" spans="2:5" ht="16.2" customHeight="1">
      <c r="B92" s="1" t="s">
        <v>188</v>
      </c>
      <c r="D92" s="12">
        <v>0.27</v>
      </c>
      <c r="E92" s="16">
        <v>0.25</v>
      </c>
    </row>
    <row r="93" spans="2:5" ht="16.2" customHeight="1">
      <c r="B93" s="1" t="s">
        <v>18</v>
      </c>
      <c r="D93" s="12">
        <v>0.25</v>
      </c>
      <c r="E93" s="16">
        <v>0.23</v>
      </c>
    </row>
    <row r="94" spans="2:5" ht="16.2" customHeight="1">
      <c r="B94" s="1" t="s">
        <v>19</v>
      </c>
      <c r="D94" s="12">
        <v>0.28999999999999998</v>
      </c>
      <c r="E94" s="16">
        <v>0.27</v>
      </c>
    </row>
    <row r="95" spans="2:5" ht="16.2" customHeight="1">
      <c r="B95" s="36"/>
      <c r="D95" s="27"/>
      <c r="E95" s="27"/>
    </row>
    <row r="96" spans="2:5" ht="16.2" customHeight="1">
      <c r="B96" s="36" t="s">
        <v>43</v>
      </c>
      <c r="D96" s="21">
        <f>CHOOSE($C$6,D97,D98,D99)</f>
        <v>0.2</v>
      </c>
      <c r="E96" s="22">
        <f>CHOOSE($C$6,E97,E98,E99)</f>
        <v>0.18</v>
      </c>
    </row>
    <row r="97" spans="2:5" ht="16.2" customHeight="1">
      <c r="B97" s="1" t="s">
        <v>188</v>
      </c>
      <c r="C97" s="23"/>
      <c r="D97" s="12">
        <v>0.2</v>
      </c>
      <c r="E97" s="16">
        <v>0.18</v>
      </c>
    </row>
    <row r="98" spans="2:5" ht="16.2" customHeight="1">
      <c r="B98" s="1" t="s">
        <v>18</v>
      </c>
      <c r="C98" s="23"/>
      <c r="D98" s="12">
        <v>0.19</v>
      </c>
      <c r="E98" s="16">
        <v>0.17</v>
      </c>
    </row>
    <row r="99" spans="2:5" ht="16.2" customHeight="1">
      <c r="B99" s="1" t="s">
        <v>19</v>
      </c>
      <c r="C99" s="23"/>
      <c r="D99" s="12">
        <v>0.21</v>
      </c>
      <c r="E99" s="16">
        <v>0.19</v>
      </c>
    </row>
    <row r="100" spans="2:5" ht="16.2" customHeight="1">
      <c r="B100" s="36"/>
      <c r="C100" s="23"/>
    </row>
    <row r="101" spans="2:5" ht="16.2" customHeight="1">
      <c r="B101" s="36" t="s">
        <v>31</v>
      </c>
      <c r="C101" s="23"/>
      <c r="D101" s="21">
        <f>CHOOSE($C$6,D102,D103,D104)</f>
        <v>0.18</v>
      </c>
      <c r="E101" s="22">
        <f>CHOOSE($C$6,E102,E103,E104)</f>
        <v>0.2</v>
      </c>
    </row>
    <row r="102" spans="2:5" ht="16.2" customHeight="1">
      <c r="B102" s="1" t="s">
        <v>188</v>
      </c>
      <c r="C102" s="23"/>
      <c r="D102" s="12">
        <v>0.18</v>
      </c>
      <c r="E102" s="16">
        <v>0.2</v>
      </c>
    </row>
    <row r="103" spans="2:5" ht="16.2" customHeight="1">
      <c r="B103" s="1" t="s">
        <v>18</v>
      </c>
      <c r="C103" s="23"/>
      <c r="D103" s="12">
        <v>0.17</v>
      </c>
      <c r="E103" s="16">
        <v>0.18</v>
      </c>
    </row>
    <row r="104" spans="2:5" ht="16.2" customHeight="1">
      <c r="B104" s="1" t="s">
        <v>19</v>
      </c>
      <c r="C104" s="23"/>
      <c r="D104" s="12">
        <v>0.19</v>
      </c>
      <c r="E104" s="16">
        <v>0.21</v>
      </c>
    </row>
    <row r="105" spans="2:5" ht="16.2" customHeight="1">
      <c r="C105" s="23"/>
      <c r="D105" s="24"/>
      <c r="E105" s="25"/>
    </row>
    <row r="106" spans="2:5" ht="16.2" customHeight="1">
      <c r="B106" s="36" t="s">
        <v>32</v>
      </c>
      <c r="C106" s="23"/>
      <c r="D106" s="21">
        <f>CHOOSE($C$6,D107,D108,D109)</f>
        <v>0.14000000000000001</v>
      </c>
      <c r="E106" s="22">
        <f>CHOOSE($C$6,E107,E108,E109)</f>
        <v>0.14000000000000001</v>
      </c>
    </row>
    <row r="107" spans="2:5" ht="16.2" customHeight="1">
      <c r="B107" s="1" t="s">
        <v>188</v>
      </c>
      <c r="C107" s="23"/>
      <c r="D107" s="12">
        <v>0.14000000000000001</v>
      </c>
      <c r="E107" s="16">
        <v>0.14000000000000001</v>
      </c>
    </row>
    <row r="108" spans="2:5" ht="16.2" customHeight="1">
      <c r="B108" s="1" t="s">
        <v>18</v>
      </c>
      <c r="C108" s="23"/>
      <c r="D108" s="12">
        <v>0.14000000000000001</v>
      </c>
      <c r="E108" s="16">
        <v>0.14000000000000001</v>
      </c>
    </row>
    <row r="109" spans="2:5" ht="16.2" customHeight="1">
      <c r="B109" s="1" t="s">
        <v>19</v>
      </c>
      <c r="C109" s="23"/>
      <c r="D109" s="12">
        <v>0.14000000000000001</v>
      </c>
      <c r="E109" s="16">
        <v>0.14000000000000001</v>
      </c>
    </row>
    <row r="110" spans="2:5" ht="16.2" customHeight="1">
      <c r="B110" s="36"/>
      <c r="C110" s="23"/>
      <c r="D110" s="27"/>
      <c r="E110" s="27"/>
    </row>
    <row r="111" spans="2:5" ht="16.2" customHeight="1">
      <c r="B111" s="36" t="s">
        <v>33</v>
      </c>
      <c r="C111" s="23"/>
      <c r="D111" s="21">
        <f>CHOOSE($C$6,D112,D113,D114)</f>
        <v>0.09</v>
      </c>
      <c r="E111" s="22">
        <f>CHOOSE($C$6,E112,E113,E114)</f>
        <v>0.08</v>
      </c>
    </row>
    <row r="112" spans="2:5" ht="16.2" customHeight="1">
      <c r="B112" s="1" t="s">
        <v>188</v>
      </c>
      <c r="C112" s="23"/>
      <c r="D112" s="12">
        <v>0.09</v>
      </c>
      <c r="E112" s="16">
        <v>0.08</v>
      </c>
    </row>
    <row r="113" spans="2:5" ht="16.2" customHeight="1">
      <c r="B113" s="1" t="s">
        <v>18</v>
      </c>
      <c r="C113" s="23"/>
      <c r="D113" s="12">
        <v>0.1</v>
      </c>
      <c r="E113" s="16">
        <v>0.1</v>
      </c>
    </row>
    <row r="114" spans="2:5" ht="16.2" customHeight="1">
      <c r="B114" s="1" t="s">
        <v>19</v>
      </c>
      <c r="C114" s="23"/>
      <c r="D114" s="12">
        <v>0.08</v>
      </c>
      <c r="E114" s="16">
        <v>7.0000000000000007E-2</v>
      </c>
    </row>
    <row r="115" spans="2:5" ht="16.2" customHeight="1">
      <c r="B115" s="36"/>
      <c r="C115" s="23"/>
    </row>
    <row r="116" spans="2:5" ht="16.2" customHeight="1">
      <c r="B116" s="36" t="s">
        <v>34</v>
      </c>
      <c r="C116" s="23"/>
      <c r="D116" s="21">
        <f>CHOOSE($C$6,D117,D118,D119)</f>
        <v>0.09</v>
      </c>
      <c r="E116" s="22">
        <f>CHOOSE($C$6,E117,E118,E119)</f>
        <v>0.12</v>
      </c>
    </row>
    <row r="117" spans="2:5" ht="16.2" customHeight="1">
      <c r="B117" s="1" t="s">
        <v>188</v>
      </c>
      <c r="C117" s="23"/>
      <c r="D117" s="12">
        <v>0.09</v>
      </c>
      <c r="E117" s="16">
        <v>0.12</v>
      </c>
    </row>
    <row r="118" spans="2:5" ht="16.2" customHeight="1">
      <c r="B118" s="1" t="s">
        <v>18</v>
      </c>
      <c r="C118" s="23"/>
      <c r="D118" s="12">
        <v>0.11</v>
      </c>
      <c r="E118" s="16">
        <v>0.14000000000000001</v>
      </c>
    </row>
    <row r="119" spans="2:5" ht="16.2" customHeight="1">
      <c r="B119" s="1" t="s">
        <v>19</v>
      </c>
      <c r="C119" s="23"/>
      <c r="D119" s="12">
        <v>7.0000000000000007E-2</v>
      </c>
      <c r="E119" s="16">
        <v>0.1</v>
      </c>
    </row>
    <row r="120" spans="2:5" ht="16.2" customHeight="1">
      <c r="B120" s="36"/>
      <c r="C120" s="23"/>
      <c r="D120" s="23"/>
      <c r="E120" s="23"/>
    </row>
    <row r="121" spans="2:5" ht="16.2" customHeight="1">
      <c r="B121" s="36" t="s">
        <v>35</v>
      </c>
      <c r="D121" s="21">
        <f>CHOOSE($C$6,D122,D123,D124)</f>
        <v>0.03</v>
      </c>
      <c r="E121" s="22">
        <f>CHOOSE($C$6,E122,E123,E124)</f>
        <v>0.03</v>
      </c>
    </row>
    <row r="122" spans="2:5" ht="16.2" customHeight="1">
      <c r="B122" s="1" t="s">
        <v>188</v>
      </c>
      <c r="D122" s="12">
        <v>0.03</v>
      </c>
      <c r="E122" s="16">
        <v>0.03</v>
      </c>
    </row>
    <row r="123" spans="2:5" ht="16.2" customHeight="1">
      <c r="B123" s="1" t="s">
        <v>18</v>
      </c>
      <c r="D123" s="12">
        <v>0.04</v>
      </c>
      <c r="E123" s="16">
        <v>0.04</v>
      </c>
    </row>
    <row r="124" spans="2:5" ht="16.2" customHeight="1">
      <c r="B124" s="1" t="s">
        <v>19</v>
      </c>
      <c r="D124" s="12">
        <v>0.02</v>
      </c>
      <c r="E124" s="16">
        <v>0.02</v>
      </c>
    </row>
    <row r="125" spans="2:5" ht="16.2" customHeight="1"/>
    <row r="126" spans="2:5" ht="16.2" customHeight="1">
      <c r="B126" s="55" t="s">
        <v>188</v>
      </c>
      <c r="D126" s="57">
        <f>D92+D97+D102+D107+D112+D117+D122</f>
        <v>1</v>
      </c>
      <c r="E126" s="57">
        <f>E92+E97+E102+E107+E112+E117+E122</f>
        <v>1</v>
      </c>
    </row>
    <row r="127" spans="2:5" ht="16.2" customHeight="1">
      <c r="B127" s="55" t="s">
        <v>18</v>
      </c>
      <c r="D127" s="57">
        <f t="shared" ref="D127:E127" si="1">D93+D98+D103+D108+D113+D118+D123</f>
        <v>1</v>
      </c>
      <c r="E127" s="57">
        <f t="shared" si="1"/>
        <v>1</v>
      </c>
    </row>
    <row r="128" spans="2:5" ht="16.2" customHeight="1">
      <c r="B128" s="55" t="s">
        <v>19</v>
      </c>
      <c r="D128" s="57">
        <f t="shared" ref="D128:E128" si="2">D94+D99+D104+D109+D114+D119+D124</f>
        <v>1</v>
      </c>
      <c r="E128" s="57">
        <f t="shared" si="2"/>
        <v>1</v>
      </c>
    </row>
    <row r="129" spans="2:9" ht="16.2" customHeight="1">
      <c r="B129" s="55"/>
      <c r="D129" s="56"/>
      <c r="E129" s="56"/>
    </row>
    <row r="130" spans="2:9">
      <c r="B130" s="35" t="s">
        <v>186</v>
      </c>
      <c r="C130" s="38"/>
      <c r="D130" s="38"/>
      <c r="E130" s="38"/>
      <c r="F130" s="9"/>
      <c r="G130" s="13"/>
      <c r="H130" s="9"/>
      <c r="I130" s="9"/>
    </row>
    <row r="132" spans="2:9" ht="15.6">
      <c r="B132" s="36" t="s">
        <v>30</v>
      </c>
      <c r="D132" s="21">
        <f>CHOOSE($C$6,D133,D134,D135)</f>
        <v>0.28000000000000003</v>
      </c>
      <c r="E132" s="22">
        <f>CHOOSE($C$6,E133,E134,E135)</f>
        <v>0.26</v>
      </c>
    </row>
    <row r="133" spans="2:9" ht="15.6">
      <c r="B133" s="1" t="s">
        <v>188</v>
      </c>
      <c r="D133" s="12">
        <v>0.28000000000000003</v>
      </c>
      <c r="E133" s="16">
        <v>0.26</v>
      </c>
    </row>
    <row r="134" spans="2:9" ht="15.6">
      <c r="B134" s="1" t="s">
        <v>18</v>
      </c>
      <c r="D134" s="12">
        <v>0.28999999999999998</v>
      </c>
      <c r="E134" s="16">
        <v>0.27</v>
      </c>
    </row>
    <row r="135" spans="2:9" ht="15.6">
      <c r="B135" s="1" t="s">
        <v>19</v>
      </c>
      <c r="D135" s="12">
        <v>0.25</v>
      </c>
      <c r="E135" s="16">
        <v>0.24</v>
      </c>
    </row>
    <row r="136" spans="2:9" ht="15.6">
      <c r="B136" s="36"/>
      <c r="D136" s="27"/>
      <c r="E136" s="27"/>
    </row>
    <row r="137" spans="2:9" ht="15.6">
      <c r="B137" s="36" t="s">
        <v>43</v>
      </c>
      <c r="D137" s="21">
        <f>CHOOSE($C$6,D138,D139,D140)</f>
        <v>0.2</v>
      </c>
      <c r="E137" s="22">
        <f>CHOOSE($C$6,E138,E139,E140)</f>
        <v>0.19</v>
      </c>
    </row>
    <row r="138" spans="2:9" ht="15.6">
      <c r="B138" s="1" t="s">
        <v>188</v>
      </c>
      <c r="C138" s="23"/>
      <c r="D138" s="12">
        <v>0.2</v>
      </c>
      <c r="E138" s="16">
        <v>0.19</v>
      </c>
    </row>
    <row r="139" spans="2:9" ht="15.6">
      <c r="B139" s="1" t="s">
        <v>18</v>
      </c>
      <c r="C139" s="23"/>
      <c r="D139" s="12">
        <v>0.21</v>
      </c>
      <c r="E139" s="16">
        <v>0.2</v>
      </c>
    </row>
    <row r="140" spans="2:9" ht="15.6">
      <c r="B140" s="1" t="s">
        <v>19</v>
      </c>
      <c r="C140" s="23"/>
      <c r="D140" s="12">
        <v>0.18</v>
      </c>
      <c r="E140" s="16">
        <v>0.17</v>
      </c>
    </row>
    <row r="141" spans="2:9" ht="15.6">
      <c r="B141" s="36"/>
      <c r="C141" s="23"/>
    </row>
    <row r="142" spans="2:9" ht="15.6">
      <c r="B142" s="36" t="s">
        <v>31</v>
      </c>
      <c r="C142" s="23"/>
      <c r="D142" s="21">
        <f>CHOOSE($C$6,D143,D144,D145)</f>
        <v>0.17</v>
      </c>
      <c r="E142" s="22">
        <f>CHOOSE($C$6,E143,E144,E145)</f>
        <v>0.17</v>
      </c>
    </row>
    <row r="143" spans="2:9" ht="15.6">
      <c r="B143" s="1" t="s">
        <v>188</v>
      </c>
      <c r="C143" s="23"/>
      <c r="D143" s="12">
        <v>0.17</v>
      </c>
      <c r="E143" s="16">
        <v>0.17</v>
      </c>
    </row>
    <row r="144" spans="2:9" ht="15.6">
      <c r="B144" s="1" t="s">
        <v>18</v>
      </c>
      <c r="C144" s="23"/>
      <c r="D144" s="12">
        <v>0.17</v>
      </c>
      <c r="E144" s="16">
        <v>0.17</v>
      </c>
    </row>
    <row r="145" spans="2:5" ht="15.6">
      <c r="B145" s="1" t="s">
        <v>19</v>
      </c>
      <c r="C145" s="23"/>
      <c r="D145" s="12">
        <v>0.19</v>
      </c>
      <c r="E145" s="16">
        <v>0.17</v>
      </c>
    </row>
    <row r="146" spans="2:5" ht="14.4">
      <c r="C146" s="23"/>
      <c r="D146" s="24"/>
      <c r="E146" s="25"/>
    </row>
    <row r="147" spans="2:5" ht="15.6">
      <c r="B147" s="36" t="s">
        <v>32</v>
      </c>
      <c r="C147" s="23"/>
      <c r="D147" s="21">
        <f>CHOOSE($C$6,D148,D149,D150)</f>
        <v>0.14000000000000001</v>
      </c>
      <c r="E147" s="22">
        <f>CHOOSE($C$6,E148,E149,E150)</f>
        <v>0.14000000000000001</v>
      </c>
    </row>
    <row r="148" spans="2:5" ht="15.6">
      <c r="B148" s="1" t="s">
        <v>188</v>
      </c>
      <c r="C148" s="23"/>
      <c r="D148" s="12">
        <v>0.14000000000000001</v>
      </c>
      <c r="E148" s="16">
        <v>0.14000000000000001</v>
      </c>
    </row>
    <row r="149" spans="2:5" ht="15.6">
      <c r="B149" s="1" t="s">
        <v>18</v>
      </c>
      <c r="C149" s="23"/>
      <c r="D149" s="12">
        <v>0.14000000000000001</v>
      </c>
      <c r="E149" s="16">
        <v>0.14000000000000001</v>
      </c>
    </row>
    <row r="150" spans="2:5" ht="15.6">
      <c r="B150" s="1" t="s">
        <v>19</v>
      </c>
      <c r="C150" s="23"/>
      <c r="D150" s="12">
        <v>0.16</v>
      </c>
      <c r="E150" s="16">
        <v>0.18</v>
      </c>
    </row>
    <row r="151" spans="2:5" ht="15.6">
      <c r="B151" s="36"/>
      <c r="C151" s="23"/>
      <c r="D151" s="27"/>
      <c r="E151" s="27"/>
    </row>
    <row r="152" spans="2:5" ht="15.6">
      <c r="B152" s="36" t="s">
        <v>33</v>
      </c>
      <c r="C152" s="23"/>
      <c r="D152" s="21">
        <f>CHOOSE($C$6,D153,D154,D155)</f>
        <v>0.1</v>
      </c>
      <c r="E152" s="22">
        <f>CHOOSE($C$6,E153,E154,E155)</f>
        <v>0.1</v>
      </c>
    </row>
    <row r="153" spans="2:5" ht="15.6">
      <c r="B153" s="1" t="s">
        <v>188</v>
      </c>
      <c r="C153" s="23"/>
      <c r="D153" s="12">
        <v>0.1</v>
      </c>
      <c r="E153" s="16">
        <v>0.1</v>
      </c>
    </row>
    <row r="154" spans="2:5" ht="15.6">
      <c r="B154" s="1" t="s">
        <v>18</v>
      </c>
      <c r="C154" s="23"/>
      <c r="D154" s="12">
        <v>0.1</v>
      </c>
      <c r="E154" s="16">
        <v>0.11</v>
      </c>
    </row>
    <row r="155" spans="2:5" ht="15.6">
      <c r="B155" s="1" t="s">
        <v>19</v>
      </c>
      <c r="C155" s="23"/>
      <c r="D155" s="12">
        <v>0.1</v>
      </c>
      <c r="E155" s="16">
        <v>0.1</v>
      </c>
    </row>
    <row r="156" spans="2:5" ht="15.6">
      <c r="B156" s="36"/>
      <c r="C156" s="23"/>
    </row>
    <row r="157" spans="2:5" ht="15.6">
      <c r="B157" s="36" t="s">
        <v>34</v>
      </c>
      <c r="C157" s="23"/>
      <c r="D157" s="21">
        <f>CHOOSE($C$6,D158,D159,D160)</f>
        <v>0.08</v>
      </c>
      <c r="E157" s="22">
        <f>CHOOSE($C$6,E158,E159,E160)</f>
        <v>0.12</v>
      </c>
    </row>
    <row r="158" spans="2:5" ht="15.6">
      <c r="B158" s="1" t="s">
        <v>188</v>
      </c>
      <c r="C158" s="23"/>
      <c r="D158" s="12">
        <v>0.08</v>
      </c>
      <c r="E158" s="16">
        <v>0.12</v>
      </c>
    </row>
    <row r="159" spans="2:5" ht="15.6">
      <c r="B159" s="1" t="s">
        <v>18</v>
      </c>
      <c r="C159" s="23"/>
      <c r="D159" s="12">
        <v>7.0000000000000007E-2</v>
      </c>
      <c r="E159" s="16">
        <v>0.09</v>
      </c>
    </row>
    <row r="160" spans="2:5" ht="15.6">
      <c r="B160" s="1" t="s">
        <v>19</v>
      </c>
      <c r="C160" s="23"/>
      <c r="D160" s="12">
        <v>0.1</v>
      </c>
      <c r="E160" s="16">
        <v>0.1</v>
      </c>
    </row>
    <row r="161" spans="2:5" ht="15.6">
      <c r="B161" s="36"/>
      <c r="C161" s="23"/>
      <c r="D161" s="23"/>
      <c r="E161" s="23"/>
    </row>
    <row r="162" spans="2:5" ht="15.6">
      <c r="B162" s="36" t="s">
        <v>35</v>
      </c>
      <c r="D162" s="21">
        <f>CHOOSE($C$6,D163,D164,D165)</f>
        <v>0.03</v>
      </c>
      <c r="E162" s="22">
        <f>CHOOSE($C$6,E163,E164,E165)</f>
        <v>0.02</v>
      </c>
    </row>
    <row r="163" spans="2:5" ht="15.6">
      <c r="B163" s="1" t="s">
        <v>188</v>
      </c>
      <c r="D163" s="12">
        <v>0.03</v>
      </c>
      <c r="E163" s="16">
        <v>0.02</v>
      </c>
    </row>
    <row r="164" spans="2:5" ht="15.6">
      <c r="B164" s="1" t="s">
        <v>18</v>
      </c>
      <c r="D164" s="12">
        <v>0.02</v>
      </c>
      <c r="E164" s="16">
        <v>0.02</v>
      </c>
    </row>
    <row r="165" spans="2:5" ht="15.6">
      <c r="B165" s="1" t="s">
        <v>19</v>
      </c>
      <c r="D165" s="12">
        <v>0.02</v>
      </c>
      <c r="E165" s="16">
        <v>0.04</v>
      </c>
    </row>
    <row r="167" spans="2:5">
      <c r="B167" s="55" t="s">
        <v>188</v>
      </c>
      <c r="D167" s="57">
        <f>D133+D138+D143+D148+D153+D158+D163</f>
        <v>1</v>
      </c>
      <c r="E167" s="57">
        <f>E133+E138+E143+E148+E153+E158+E163</f>
        <v>1</v>
      </c>
    </row>
    <row r="168" spans="2:5">
      <c r="B168" s="55" t="s">
        <v>18</v>
      </c>
      <c r="D168" s="57">
        <f t="shared" ref="D168:E169" si="3">D134+D139+D144+D149+D154+D159+D164</f>
        <v>1</v>
      </c>
      <c r="E168" s="57">
        <f t="shared" si="3"/>
        <v>1</v>
      </c>
    </row>
    <row r="169" spans="2:5">
      <c r="B169" s="55" t="s">
        <v>19</v>
      </c>
      <c r="D169" s="57">
        <f t="shared" si="3"/>
        <v>1</v>
      </c>
      <c r="E169" s="57">
        <f t="shared" si="3"/>
        <v>1</v>
      </c>
    </row>
    <row r="172" spans="2:5">
      <c r="B172" s="35" t="s">
        <v>142</v>
      </c>
      <c r="C172" s="35"/>
      <c r="D172" s="35"/>
      <c r="E172" s="35"/>
    </row>
    <row r="174" spans="2:5" ht="15.6">
      <c r="B174" s="2" t="s">
        <v>141</v>
      </c>
      <c r="C174" s="29">
        <v>0.28999999999999998</v>
      </c>
      <c r="D174" s="29"/>
    </row>
    <row r="175" spans="2:5" ht="15.6">
      <c r="C175" s="164"/>
      <c r="D175" s="29"/>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2</xdr:col>
                    <xdr:colOff>327660</xdr:colOff>
                    <xdr:row>4</xdr:row>
                    <xdr:rowOff>152400</xdr:rowOff>
                  </from>
                  <to>
                    <xdr:col>3</xdr:col>
                    <xdr:colOff>30480</xdr:colOff>
                    <xdr:row>5</xdr:row>
                    <xdr:rowOff>175260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Worksheet____4"/>
  <dimension ref="A2:AB259"/>
  <sheetViews>
    <sheetView showGridLines="0" zoomScale="94" zoomScaleNormal="94" workbookViewId="0">
      <pane ySplit="8" topLeftCell="A96" activePane="bottomLeft" state="frozen"/>
      <selection pane="bottomLeft" activeCell="D107" sqref="D107"/>
    </sheetView>
  </sheetViews>
  <sheetFormatPr defaultColWidth="8.88671875" defaultRowHeight="15.6" outlineLevelRow="1"/>
  <cols>
    <col min="1" max="1" width="9.77734375" style="27" customWidth="1"/>
    <col min="2" max="2" width="55.44140625" style="27" customWidth="1"/>
    <col min="3" max="3" width="10.5546875" style="27" customWidth="1"/>
    <col min="4" max="4" width="13.6640625" style="27" bestFit="1" customWidth="1"/>
    <col min="5" max="5" width="11.44140625" style="27" customWidth="1"/>
    <col min="6" max="27" width="12" style="27" customWidth="1"/>
    <col min="28" max="16384" width="8.88671875" style="27"/>
  </cols>
  <sheetData>
    <row r="2" spans="1:27" ht="20.399999999999999">
      <c r="A2" s="27" t="s">
        <v>5</v>
      </c>
      <c r="B2" s="109" t="s">
        <v>4</v>
      </c>
      <c r="C2" s="19"/>
      <c r="D2" s="18"/>
      <c r="E2" s="18"/>
      <c r="F2" s="18"/>
      <c r="G2" s="18"/>
      <c r="H2" s="18"/>
      <c r="I2" s="18"/>
      <c r="J2" s="18"/>
      <c r="K2" s="18"/>
      <c r="L2" s="18"/>
      <c r="M2" s="18"/>
      <c r="N2" s="18"/>
      <c r="O2" s="18"/>
      <c r="P2" s="18"/>
      <c r="Q2" s="18"/>
      <c r="R2" s="18"/>
      <c r="S2" s="18"/>
      <c r="T2" s="18"/>
      <c r="U2" s="18"/>
      <c r="V2" s="18"/>
      <c r="W2" s="18"/>
      <c r="X2" s="18"/>
      <c r="Y2" s="18"/>
      <c r="Z2" s="18"/>
      <c r="AA2" s="18"/>
    </row>
    <row r="3" spans="1:27" ht="18">
      <c r="B3" s="39"/>
      <c r="C3" s="39"/>
      <c r="D3" s="40"/>
      <c r="E3" s="40"/>
      <c r="F3" s="40"/>
      <c r="H3" s="20"/>
    </row>
    <row r="4" spans="1:27">
      <c r="B4" s="17" t="str">
        <f>Inputs!B6</f>
        <v>Driver Switch</v>
      </c>
      <c r="C4" s="17"/>
      <c r="D4" s="60">
        <v>1</v>
      </c>
      <c r="E4" s="40"/>
      <c r="F4" s="20" t="s">
        <v>84</v>
      </c>
      <c r="H4" s="20"/>
    </row>
    <row r="8" spans="1:27" s="49" customFormat="1">
      <c r="A8" s="49" t="s">
        <v>36</v>
      </c>
      <c r="B8" s="50" t="s">
        <v>37</v>
      </c>
      <c r="C8" s="50"/>
      <c r="D8" s="51">
        <v>44927</v>
      </c>
      <c r="E8" s="51">
        <v>44958</v>
      </c>
      <c r="F8" s="51">
        <v>44986</v>
      </c>
      <c r="G8" s="51">
        <v>45017</v>
      </c>
      <c r="H8" s="51">
        <v>45047</v>
      </c>
      <c r="I8" s="51">
        <v>45078</v>
      </c>
      <c r="J8" s="51">
        <v>45108</v>
      </c>
      <c r="K8" s="51">
        <v>45139</v>
      </c>
      <c r="L8" s="51">
        <v>45170</v>
      </c>
      <c r="M8" s="51">
        <v>45200</v>
      </c>
      <c r="N8" s="51">
        <v>45231</v>
      </c>
      <c r="O8" s="51">
        <v>45261</v>
      </c>
      <c r="P8" s="51">
        <v>45292</v>
      </c>
      <c r="Q8" s="51">
        <v>45323</v>
      </c>
      <c r="R8" s="51">
        <v>45352</v>
      </c>
      <c r="S8" s="51">
        <v>45383</v>
      </c>
      <c r="T8" s="51">
        <v>45413</v>
      </c>
      <c r="U8" s="51">
        <v>45444</v>
      </c>
      <c r="V8" s="51">
        <v>45474</v>
      </c>
      <c r="W8" s="51">
        <v>45505</v>
      </c>
      <c r="X8" s="51">
        <v>45536</v>
      </c>
      <c r="Y8" s="51">
        <v>45566</v>
      </c>
      <c r="Z8" s="51">
        <v>45597</v>
      </c>
      <c r="AA8" s="51">
        <v>45627</v>
      </c>
    </row>
    <row r="9" spans="1:27" s="45" customFormat="1">
      <c r="D9" s="46"/>
      <c r="E9" s="46"/>
      <c r="F9" s="46"/>
      <c r="G9" s="46"/>
      <c r="H9" s="46"/>
      <c r="I9" s="46"/>
      <c r="J9" s="46"/>
      <c r="K9" s="46"/>
      <c r="L9" s="46"/>
      <c r="M9" s="46"/>
      <c r="N9" s="46"/>
      <c r="O9" s="46"/>
      <c r="P9" s="46"/>
      <c r="Q9" s="46"/>
      <c r="R9" s="46"/>
      <c r="S9" s="46"/>
      <c r="T9" s="46"/>
      <c r="U9" s="46"/>
      <c r="V9" s="46"/>
      <c r="W9" s="46"/>
      <c r="X9" s="46"/>
      <c r="Y9" s="46"/>
      <c r="Z9" s="46"/>
      <c r="AA9" s="46"/>
    </row>
    <row r="10" spans="1:27">
      <c r="A10" s="27" t="s">
        <v>38</v>
      </c>
      <c r="B10" s="44" t="s">
        <v>159</v>
      </c>
      <c r="C10" s="44"/>
      <c r="D10" s="35"/>
      <c r="E10" s="35"/>
      <c r="F10" s="35"/>
      <c r="G10" s="35"/>
      <c r="H10" s="35"/>
      <c r="I10" s="35"/>
      <c r="J10" s="35"/>
      <c r="K10" s="35"/>
      <c r="L10" s="35"/>
      <c r="M10" s="35"/>
      <c r="N10" s="35"/>
      <c r="O10" s="35"/>
      <c r="P10" s="35"/>
      <c r="Q10" s="35"/>
      <c r="R10" s="35"/>
      <c r="S10" s="35"/>
      <c r="T10" s="35"/>
      <c r="U10" s="35"/>
      <c r="V10" s="35"/>
      <c r="W10" s="35"/>
      <c r="X10" s="35"/>
      <c r="Y10" s="35"/>
      <c r="Z10" s="35"/>
      <c r="AA10" s="35"/>
    </row>
    <row r="11" spans="1:27" s="45" customFormat="1">
      <c r="D11" s="46"/>
      <c r="E11" s="46"/>
      <c r="F11" s="46"/>
      <c r="G11" s="46"/>
      <c r="H11" s="46"/>
      <c r="I11" s="46"/>
      <c r="J11" s="46"/>
      <c r="K11" s="46"/>
      <c r="L11" s="46"/>
      <c r="M11" s="46"/>
      <c r="N11" s="46"/>
      <c r="O11" s="46"/>
      <c r="P11" s="46"/>
      <c r="Q11" s="46"/>
      <c r="R11" s="46"/>
      <c r="S11" s="46"/>
      <c r="T11" s="46"/>
      <c r="U11" s="46"/>
      <c r="V11" s="46"/>
      <c r="W11" s="46"/>
      <c r="X11" s="46"/>
      <c r="Y11" s="46"/>
      <c r="Z11" s="46"/>
      <c r="AA11" s="46"/>
    </row>
    <row r="12" spans="1:27" s="52" customFormat="1" outlineLevel="1">
      <c r="B12" s="107" t="s">
        <v>17</v>
      </c>
      <c r="C12" s="108"/>
      <c r="D12" s="52">
        <f>IF(YEAR(D$8)=2023,Inputs!$D$9,Inputs!$E$9)</f>
        <v>0.03</v>
      </c>
      <c r="E12" s="52">
        <f>IF(YEAR(E$8)=2023,Inputs!$D$9,Inputs!$E$9)</f>
        <v>0.03</v>
      </c>
      <c r="F12" s="52">
        <f>IF(YEAR(F$8)=2023,Inputs!$D$9,Inputs!$E$9)</f>
        <v>0.03</v>
      </c>
      <c r="G12" s="52">
        <f>IF(YEAR(G$8)=2023,Inputs!$D$9,Inputs!$E$9)</f>
        <v>0.03</v>
      </c>
      <c r="H12" s="52">
        <f>IF(YEAR(H$8)=2023,Inputs!$D$9,Inputs!$E$9)</f>
        <v>0.03</v>
      </c>
      <c r="I12" s="52">
        <f>IF(YEAR(I$8)=2023,Inputs!$D$9,Inputs!$E$9)</f>
        <v>0.03</v>
      </c>
      <c r="J12" s="52">
        <f>IF(YEAR(J$8)=2023,Inputs!$D$9,Inputs!$E$9)</f>
        <v>0.03</v>
      </c>
      <c r="K12" s="52">
        <f>IF(YEAR(K$8)=2023,Inputs!$D$9,Inputs!$E$9)</f>
        <v>0.03</v>
      </c>
      <c r="L12" s="52">
        <f>IF(YEAR(L$8)=2023,Inputs!$D$9,Inputs!$E$9)</f>
        <v>0.03</v>
      </c>
      <c r="M12" s="52">
        <f>IF(YEAR(M$8)=2023,Inputs!$D$9,Inputs!$E$9)</f>
        <v>0.03</v>
      </c>
      <c r="N12" s="52">
        <f>IF(YEAR(N$8)=2023,Inputs!$D$9,Inputs!$E$9)</f>
        <v>0.03</v>
      </c>
      <c r="O12" s="52">
        <f>IF(YEAR(O$8)=2023,Inputs!$D$9,Inputs!$E$9)</f>
        <v>0.03</v>
      </c>
      <c r="P12" s="52">
        <f>IF(YEAR(P$8)=2023,Inputs!$D$9,Inputs!$E$9)</f>
        <v>1.4999999999999999E-2</v>
      </c>
      <c r="Q12" s="52">
        <f>IF(YEAR(Q$8)=2023,Inputs!$D$9,Inputs!$E$9)</f>
        <v>1.4999999999999999E-2</v>
      </c>
      <c r="R12" s="52">
        <f>IF(YEAR(R$8)=2023,Inputs!$D$9,Inputs!$E$9)</f>
        <v>1.4999999999999999E-2</v>
      </c>
      <c r="S12" s="52">
        <f>IF(YEAR(S$8)=2023,Inputs!$D$9,Inputs!$E$9)</f>
        <v>1.4999999999999999E-2</v>
      </c>
      <c r="T12" s="52">
        <f>IF(YEAR(T$8)=2023,Inputs!$D$9,Inputs!$E$9)</f>
        <v>1.4999999999999999E-2</v>
      </c>
      <c r="U12" s="52">
        <f>IF(YEAR(U$8)=2023,Inputs!$D$9,Inputs!$E$9)</f>
        <v>1.4999999999999999E-2</v>
      </c>
      <c r="V12" s="52">
        <f>IF(YEAR(V$8)=2023,Inputs!$D$9,Inputs!$E$9)</f>
        <v>1.4999999999999999E-2</v>
      </c>
      <c r="W12" s="52">
        <f>IF(YEAR(W$8)=2023,Inputs!$D$9,Inputs!$E$9)</f>
        <v>1.4999999999999999E-2</v>
      </c>
      <c r="X12" s="52">
        <f>IF(YEAR(X$8)=2023,Inputs!$D$9,Inputs!$E$9)</f>
        <v>1.4999999999999999E-2</v>
      </c>
      <c r="Y12" s="52">
        <f>IF(YEAR(Y$8)=2023,Inputs!$D$9,Inputs!$E$9)</f>
        <v>1.4999999999999999E-2</v>
      </c>
      <c r="Z12" s="52">
        <f>IF(YEAR(Z$8)=2023,Inputs!$D$9,Inputs!$E$9)</f>
        <v>1.4999999999999999E-2</v>
      </c>
      <c r="AA12" s="52">
        <f>IF(YEAR(AA$8)=2023,Inputs!$D$9,Inputs!$E$9)</f>
        <v>1.4999999999999999E-2</v>
      </c>
    </row>
    <row r="13" spans="1:27" s="42" customFormat="1" outlineLevel="1">
      <c r="B13" s="42" t="s">
        <v>39</v>
      </c>
      <c r="D13" s="104">
        <v>950</v>
      </c>
      <c r="E13" s="104">
        <v>970</v>
      </c>
      <c r="F13" s="104">
        <v>990</v>
      </c>
      <c r="G13" s="104">
        <v>1010</v>
      </c>
      <c r="H13" s="104">
        <v>1030</v>
      </c>
      <c r="I13" s="104">
        <v>1050</v>
      </c>
      <c r="J13" s="104">
        <v>1070</v>
      </c>
      <c r="K13" s="104">
        <v>1090</v>
      </c>
      <c r="L13" s="104">
        <v>1110</v>
      </c>
      <c r="M13" s="104">
        <v>1130</v>
      </c>
      <c r="N13" s="104">
        <v>1150</v>
      </c>
      <c r="O13" s="104">
        <v>1130</v>
      </c>
      <c r="P13" s="104">
        <v>1110</v>
      </c>
      <c r="Q13" s="104">
        <v>1090</v>
      </c>
      <c r="R13" s="104">
        <v>1070</v>
      </c>
      <c r="S13" s="104">
        <v>1050</v>
      </c>
      <c r="T13" s="104">
        <v>1030</v>
      </c>
      <c r="U13" s="104">
        <v>1010</v>
      </c>
      <c r="V13" s="104">
        <v>990</v>
      </c>
      <c r="W13" s="104">
        <v>970</v>
      </c>
      <c r="X13" s="104">
        <v>950</v>
      </c>
      <c r="Y13" s="104">
        <v>930</v>
      </c>
      <c r="Z13" s="104">
        <v>920</v>
      </c>
      <c r="AA13" s="104">
        <v>910</v>
      </c>
    </row>
    <row r="14" spans="1:27" s="41" customFormat="1" outlineLevel="1">
      <c r="B14" s="41" t="s">
        <v>8</v>
      </c>
      <c r="D14" s="102">
        <f>D13*(D12+1)</f>
        <v>978.5</v>
      </c>
      <c r="E14" s="102">
        <f t="shared" ref="E14:AA14" si="0">E13*(E12+1)</f>
        <v>999.1</v>
      </c>
      <c r="F14" s="102">
        <f t="shared" si="0"/>
        <v>1019.7</v>
      </c>
      <c r="G14" s="102">
        <f t="shared" si="0"/>
        <v>1040.3</v>
      </c>
      <c r="H14" s="102">
        <f t="shared" si="0"/>
        <v>1060.9000000000001</v>
      </c>
      <c r="I14" s="102">
        <f t="shared" si="0"/>
        <v>1081.5</v>
      </c>
      <c r="J14" s="102">
        <f t="shared" si="0"/>
        <v>1102.1000000000001</v>
      </c>
      <c r="K14" s="102">
        <f t="shared" si="0"/>
        <v>1122.7</v>
      </c>
      <c r="L14" s="102">
        <f t="shared" si="0"/>
        <v>1143.3</v>
      </c>
      <c r="M14" s="102">
        <f t="shared" si="0"/>
        <v>1163.9000000000001</v>
      </c>
      <c r="N14" s="102">
        <f t="shared" si="0"/>
        <v>1184.5</v>
      </c>
      <c r="O14" s="102">
        <f t="shared" si="0"/>
        <v>1163.9000000000001</v>
      </c>
      <c r="P14" s="102">
        <f>P13*(P12+1)</f>
        <v>1126.6499999999999</v>
      </c>
      <c r="Q14" s="102">
        <f t="shared" si="0"/>
        <v>1106.3499999999999</v>
      </c>
      <c r="R14" s="102">
        <f t="shared" si="0"/>
        <v>1086.05</v>
      </c>
      <c r="S14" s="102">
        <f t="shared" si="0"/>
        <v>1065.75</v>
      </c>
      <c r="T14" s="102">
        <f t="shared" si="0"/>
        <v>1045.4499999999998</v>
      </c>
      <c r="U14" s="102">
        <f t="shared" si="0"/>
        <v>1025.1499999999999</v>
      </c>
      <c r="V14" s="102">
        <f t="shared" si="0"/>
        <v>1004.8499999999999</v>
      </c>
      <c r="W14" s="102">
        <f t="shared" si="0"/>
        <v>984.55</v>
      </c>
      <c r="X14" s="102">
        <f t="shared" si="0"/>
        <v>964.24999999999989</v>
      </c>
      <c r="Y14" s="102">
        <f t="shared" si="0"/>
        <v>943.94999999999993</v>
      </c>
      <c r="Z14" s="102">
        <f t="shared" si="0"/>
        <v>933.8</v>
      </c>
      <c r="AA14" s="102">
        <f t="shared" si="0"/>
        <v>923.64999999999986</v>
      </c>
    </row>
    <row r="15" spans="1:27" s="41" customFormat="1" outlineLevel="1">
      <c r="B15" s="41" t="s">
        <v>57</v>
      </c>
      <c r="D15" s="102">
        <f t="shared" ref="D15:AA15" si="1">-D14*60%</f>
        <v>-587.1</v>
      </c>
      <c r="E15" s="102">
        <f t="shared" si="1"/>
        <v>-599.46</v>
      </c>
      <c r="F15" s="102">
        <f t="shared" si="1"/>
        <v>-611.82000000000005</v>
      </c>
      <c r="G15" s="102">
        <f t="shared" si="1"/>
        <v>-624.17999999999995</v>
      </c>
      <c r="H15" s="102">
        <f t="shared" si="1"/>
        <v>-636.54000000000008</v>
      </c>
      <c r="I15" s="102">
        <f t="shared" si="1"/>
        <v>-648.9</v>
      </c>
      <c r="J15" s="102">
        <f t="shared" si="1"/>
        <v>-661.2600000000001</v>
      </c>
      <c r="K15" s="102">
        <f t="shared" si="1"/>
        <v>-673.62</v>
      </c>
      <c r="L15" s="102">
        <f t="shared" si="1"/>
        <v>-685.9799999999999</v>
      </c>
      <c r="M15" s="102">
        <f t="shared" si="1"/>
        <v>-698.34</v>
      </c>
      <c r="N15" s="102">
        <f t="shared" si="1"/>
        <v>-710.69999999999993</v>
      </c>
      <c r="O15" s="102">
        <f t="shared" si="1"/>
        <v>-698.34</v>
      </c>
      <c r="P15" s="102">
        <f t="shared" si="1"/>
        <v>-675.9899999999999</v>
      </c>
      <c r="Q15" s="102">
        <f t="shared" si="1"/>
        <v>-663.81</v>
      </c>
      <c r="R15" s="102">
        <f t="shared" si="1"/>
        <v>-651.63</v>
      </c>
      <c r="S15" s="102">
        <f t="shared" si="1"/>
        <v>-639.44999999999993</v>
      </c>
      <c r="T15" s="102">
        <f t="shared" si="1"/>
        <v>-627.26999999999987</v>
      </c>
      <c r="U15" s="102">
        <f t="shared" si="1"/>
        <v>-615.08999999999992</v>
      </c>
      <c r="V15" s="102">
        <f t="shared" si="1"/>
        <v>-602.91</v>
      </c>
      <c r="W15" s="102">
        <f t="shared" si="1"/>
        <v>-590.7299999999999</v>
      </c>
      <c r="X15" s="102">
        <f t="shared" si="1"/>
        <v>-578.54999999999995</v>
      </c>
      <c r="Y15" s="102">
        <f t="shared" si="1"/>
        <v>-566.36999999999989</v>
      </c>
      <c r="Z15" s="102">
        <f t="shared" si="1"/>
        <v>-560.28</v>
      </c>
      <c r="AA15" s="102">
        <f t="shared" si="1"/>
        <v>-554.18999999999994</v>
      </c>
    </row>
    <row r="16" spans="1:27" s="41" customFormat="1" outlineLevel="1">
      <c r="B16" s="54" t="s">
        <v>55</v>
      </c>
      <c r="D16" s="143">
        <f>D14+D15</f>
        <v>391.4</v>
      </c>
      <c r="E16" s="143">
        <f t="shared" ref="E16:AA16" si="2">E14+E15</f>
        <v>399.64</v>
      </c>
      <c r="F16" s="143">
        <f t="shared" si="2"/>
        <v>407.88</v>
      </c>
      <c r="G16" s="143">
        <f t="shared" si="2"/>
        <v>416.12</v>
      </c>
      <c r="H16" s="143">
        <f t="shared" si="2"/>
        <v>424.36</v>
      </c>
      <c r="I16" s="143">
        <f t="shared" si="2"/>
        <v>432.6</v>
      </c>
      <c r="J16" s="143">
        <f t="shared" si="2"/>
        <v>440.84000000000003</v>
      </c>
      <c r="K16" s="143">
        <f t="shared" si="2"/>
        <v>449.08000000000004</v>
      </c>
      <c r="L16" s="143">
        <f t="shared" si="2"/>
        <v>457.32000000000005</v>
      </c>
      <c r="M16" s="143">
        <f t="shared" si="2"/>
        <v>465.56000000000006</v>
      </c>
      <c r="N16" s="143">
        <f t="shared" si="2"/>
        <v>473.80000000000007</v>
      </c>
      <c r="O16" s="143">
        <f t="shared" si="2"/>
        <v>465.56000000000006</v>
      </c>
      <c r="P16" s="143">
        <f t="shared" si="2"/>
        <v>450.65999999999997</v>
      </c>
      <c r="Q16" s="143">
        <f t="shared" si="2"/>
        <v>442.53999999999996</v>
      </c>
      <c r="R16" s="143">
        <f t="shared" si="2"/>
        <v>434.41999999999996</v>
      </c>
      <c r="S16" s="143">
        <f t="shared" si="2"/>
        <v>426.30000000000007</v>
      </c>
      <c r="T16" s="143">
        <f t="shared" si="2"/>
        <v>418.17999999999995</v>
      </c>
      <c r="U16" s="143">
        <f t="shared" si="2"/>
        <v>410.05999999999995</v>
      </c>
      <c r="V16" s="143">
        <f t="shared" si="2"/>
        <v>401.93999999999994</v>
      </c>
      <c r="W16" s="143">
        <f t="shared" si="2"/>
        <v>393.82000000000005</v>
      </c>
      <c r="X16" s="143">
        <f t="shared" si="2"/>
        <v>385.69999999999993</v>
      </c>
      <c r="Y16" s="143">
        <f t="shared" si="2"/>
        <v>377.58000000000004</v>
      </c>
      <c r="Z16" s="143">
        <f t="shared" si="2"/>
        <v>373.52</v>
      </c>
      <c r="AA16" s="143">
        <f t="shared" si="2"/>
        <v>369.45999999999992</v>
      </c>
    </row>
    <row r="17" spans="1:27" s="41" customFormat="1" outlineLevel="1">
      <c r="B17" s="54"/>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row>
    <row r="18" spans="1:27" s="52" customFormat="1" outlineLevel="1">
      <c r="B18" s="107" t="s">
        <v>56</v>
      </c>
      <c r="C18" s="108"/>
      <c r="D18" s="52">
        <f>IF(YEAR(D$8)=2023,Inputs!$D$14,Inputs!$E$14)</f>
        <v>2.5000000000000001E-2</v>
      </c>
      <c r="E18" s="52">
        <f>IF(YEAR(E$8)=2023,Inputs!$D$14,Inputs!$E$14)</f>
        <v>2.5000000000000001E-2</v>
      </c>
      <c r="F18" s="52">
        <f>IF(YEAR(F$8)=2023,Inputs!$D$14,Inputs!$E$14)</f>
        <v>2.5000000000000001E-2</v>
      </c>
      <c r="G18" s="52">
        <f>IF(YEAR(G$8)=2023,Inputs!$D$14,Inputs!$E$14)</f>
        <v>2.5000000000000001E-2</v>
      </c>
      <c r="H18" s="52">
        <f>IF(YEAR(H$8)=2023,Inputs!$D$14,Inputs!$E$14)</f>
        <v>2.5000000000000001E-2</v>
      </c>
      <c r="I18" s="52">
        <f>IF(YEAR(I$8)=2023,Inputs!$D$14,Inputs!$E$14)</f>
        <v>2.5000000000000001E-2</v>
      </c>
      <c r="J18" s="52">
        <f>IF(YEAR(J$8)=2023,Inputs!$D$14,Inputs!$E$14)</f>
        <v>2.5000000000000001E-2</v>
      </c>
      <c r="K18" s="52">
        <f>IF(YEAR(K$8)=2023,Inputs!$D$14,Inputs!$E$14)</f>
        <v>2.5000000000000001E-2</v>
      </c>
      <c r="L18" s="52">
        <f>IF(YEAR(L$8)=2023,Inputs!$D$14,Inputs!$E$14)</f>
        <v>2.5000000000000001E-2</v>
      </c>
      <c r="M18" s="52">
        <f>IF(YEAR(M$8)=2023,Inputs!$D$14,Inputs!$E$14)</f>
        <v>2.5000000000000001E-2</v>
      </c>
      <c r="N18" s="52">
        <f>IF(YEAR(N$8)=2023,Inputs!$D$14,Inputs!$E$14)</f>
        <v>2.5000000000000001E-2</v>
      </c>
      <c r="O18" s="52">
        <f>IF(YEAR(O$8)=2023,Inputs!$D$14,Inputs!$E$14)</f>
        <v>2.5000000000000001E-2</v>
      </c>
      <c r="P18" s="52">
        <f>IF(YEAR(P$8)=2023,Inputs!$D$14,Inputs!$E$14)</f>
        <v>0.04</v>
      </c>
      <c r="Q18" s="52">
        <f>IF(YEAR(Q$8)=2023,Inputs!$D$14,Inputs!$E$14)</f>
        <v>0.04</v>
      </c>
      <c r="R18" s="52">
        <f>IF(YEAR(R$8)=2023,Inputs!$D$14,Inputs!$E$14)</f>
        <v>0.04</v>
      </c>
      <c r="S18" s="52">
        <f>IF(YEAR(S$8)=2023,Inputs!$D$14,Inputs!$E$14)</f>
        <v>0.04</v>
      </c>
      <c r="T18" s="52">
        <f>IF(YEAR(T$8)=2023,Inputs!$D$14,Inputs!$E$14)</f>
        <v>0.04</v>
      </c>
      <c r="U18" s="52">
        <f>IF(YEAR(U$8)=2023,Inputs!$D$14,Inputs!$E$14)</f>
        <v>0.04</v>
      </c>
      <c r="V18" s="52">
        <f>IF(YEAR(V$8)=2023,Inputs!$D$14,Inputs!$E$14)</f>
        <v>0.04</v>
      </c>
      <c r="W18" s="52">
        <f>IF(YEAR(W$8)=2023,Inputs!$D$14,Inputs!$E$14)</f>
        <v>0.04</v>
      </c>
      <c r="X18" s="52">
        <f>IF(YEAR(X$8)=2023,Inputs!$D$14,Inputs!$E$14)</f>
        <v>0.04</v>
      </c>
      <c r="Y18" s="52">
        <f>IF(YEAR(Y$8)=2023,Inputs!$D$14,Inputs!$E$14)</f>
        <v>0.04</v>
      </c>
      <c r="Z18" s="52">
        <f>IF(YEAR(Z$8)=2023,Inputs!$D$14,Inputs!$E$14)</f>
        <v>0.04</v>
      </c>
      <c r="AA18" s="52">
        <f>IF(YEAR(AA$8)=2023,Inputs!$D$14,Inputs!$E$14)</f>
        <v>0.04</v>
      </c>
    </row>
    <row r="19" spans="1:27" s="47" customFormat="1" outlineLevel="1">
      <c r="B19" s="47" t="s">
        <v>40</v>
      </c>
      <c r="D19" s="104">
        <v>-1050</v>
      </c>
      <c r="E19" s="104">
        <v>-1070</v>
      </c>
      <c r="F19" s="104">
        <v>-1090</v>
      </c>
      <c r="G19" s="104">
        <v>-1110</v>
      </c>
      <c r="H19" s="104">
        <v>-1130</v>
      </c>
      <c r="I19" s="104">
        <v>-1150</v>
      </c>
      <c r="J19" s="104">
        <v>-1170</v>
      </c>
      <c r="K19" s="104">
        <v>-1190</v>
      </c>
      <c r="L19" s="104">
        <v>-1210</v>
      </c>
      <c r="M19" s="104">
        <v>-1230</v>
      </c>
      <c r="N19" s="104">
        <v>-1250</v>
      </c>
      <c r="O19" s="104">
        <v>-1270</v>
      </c>
      <c r="P19" s="104">
        <v>-1290</v>
      </c>
      <c r="Q19" s="104">
        <v>-1310</v>
      </c>
      <c r="R19" s="104">
        <v>-1330</v>
      </c>
      <c r="S19" s="104">
        <v>-1350</v>
      </c>
      <c r="T19" s="104">
        <v>-1370</v>
      </c>
      <c r="U19" s="104">
        <v>-1390</v>
      </c>
      <c r="V19" s="104">
        <v>-1410</v>
      </c>
      <c r="W19" s="104">
        <v>-1430</v>
      </c>
      <c r="X19" s="104">
        <v>-1450</v>
      </c>
      <c r="Y19" s="104">
        <v>-1470</v>
      </c>
      <c r="Z19" s="104">
        <v>-1490</v>
      </c>
      <c r="AA19" s="104">
        <v>-1510</v>
      </c>
    </row>
    <row r="20" spans="1:27" s="47" customFormat="1" outlineLevel="1">
      <c r="B20" s="47" t="s">
        <v>118</v>
      </c>
      <c r="D20" s="102">
        <f>D19*(D18+1)</f>
        <v>-1076.25</v>
      </c>
      <c r="E20" s="102">
        <f t="shared" ref="E20:AA20" si="3">E19*(E18+1)</f>
        <v>-1096.75</v>
      </c>
      <c r="F20" s="102">
        <f t="shared" si="3"/>
        <v>-1117.25</v>
      </c>
      <c r="G20" s="102">
        <f t="shared" si="3"/>
        <v>-1137.75</v>
      </c>
      <c r="H20" s="102">
        <f t="shared" si="3"/>
        <v>-1158.25</v>
      </c>
      <c r="I20" s="102">
        <f t="shared" si="3"/>
        <v>-1178.75</v>
      </c>
      <c r="J20" s="102">
        <f t="shared" si="3"/>
        <v>-1199.25</v>
      </c>
      <c r="K20" s="102">
        <f t="shared" si="3"/>
        <v>-1219.75</v>
      </c>
      <c r="L20" s="102">
        <f t="shared" si="3"/>
        <v>-1240.25</v>
      </c>
      <c r="M20" s="102">
        <f t="shared" si="3"/>
        <v>-1260.75</v>
      </c>
      <c r="N20" s="102">
        <f t="shared" si="3"/>
        <v>-1281.25</v>
      </c>
      <c r="O20" s="102">
        <f t="shared" si="3"/>
        <v>-1301.75</v>
      </c>
      <c r="P20" s="102">
        <f t="shared" si="3"/>
        <v>-1341.6000000000001</v>
      </c>
      <c r="Q20" s="102">
        <f t="shared" si="3"/>
        <v>-1362.4</v>
      </c>
      <c r="R20" s="102">
        <f t="shared" si="3"/>
        <v>-1383.2</v>
      </c>
      <c r="S20" s="102">
        <f t="shared" si="3"/>
        <v>-1404</v>
      </c>
      <c r="T20" s="102">
        <f t="shared" si="3"/>
        <v>-1424.8</v>
      </c>
      <c r="U20" s="102">
        <f t="shared" si="3"/>
        <v>-1445.6000000000001</v>
      </c>
      <c r="V20" s="102">
        <f t="shared" si="3"/>
        <v>-1466.4</v>
      </c>
      <c r="W20" s="102">
        <f t="shared" si="3"/>
        <v>-1487.2</v>
      </c>
      <c r="X20" s="102">
        <f t="shared" si="3"/>
        <v>-1508</v>
      </c>
      <c r="Y20" s="102">
        <f t="shared" si="3"/>
        <v>-1528.8</v>
      </c>
      <c r="Z20" s="102">
        <f t="shared" si="3"/>
        <v>-1549.6000000000001</v>
      </c>
      <c r="AA20" s="102">
        <f t="shared" si="3"/>
        <v>-1570.4</v>
      </c>
    </row>
    <row r="21" spans="1:27" s="47" customFormat="1" outlineLevel="1">
      <c r="B21" s="52" t="s">
        <v>83</v>
      </c>
      <c r="D21" s="143">
        <f>D20+D16</f>
        <v>-684.85</v>
      </c>
      <c r="E21" s="143">
        <f t="shared" ref="E21:AA21" si="4">E20+E16</f>
        <v>-697.11</v>
      </c>
      <c r="F21" s="143">
        <f t="shared" si="4"/>
        <v>-709.37</v>
      </c>
      <c r="G21" s="143">
        <f t="shared" si="4"/>
        <v>-721.63</v>
      </c>
      <c r="H21" s="143">
        <f t="shared" si="4"/>
        <v>-733.89</v>
      </c>
      <c r="I21" s="143">
        <f t="shared" si="4"/>
        <v>-746.15</v>
      </c>
      <c r="J21" s="143">
        <f t="shared" si="4"/>
        <v>-758.41</v>
      </c>
      <c r="K21" s="143">
        <f t="shared" si="4"/>
        <v>-770.67</v>
      </c>
      <c r="L21" s="143">
        <f t="shared" si="4"/>
        <v>-782.93</v>
      </c>
      <c r="M21" s="143">
        <f t="shared" si="4"/>
        <v>-795.18999999999994</v>
      </c>
      <c r="N21" s="143">
        <f t="shared" si="4"/>
        <v>-807.44999999999993</v>
      </c>
      <c r="O21" s="143">
        <f t="shared" si="4"/>
        <v>-836.18999999999994</v>
      </c>
      <c r="P21" s="143">
        <f t="shared" si="4"/>
        <v>-890.94000000000017</v>
      </c>
      <c r="Q21" s="143">
        <f t="shared" si="4"/>
        <v>-919.86000000000013</v>
      </c>
      <c r="R21" s="143">
        <f t="shared" si="4"/>
        <v>-948.78000000000009</v>
      </c>
      <c r="S21" s="143">
        <f t="shared" si="4"/>
        <v>-977.69999999999993</v>
      </c>
      <c r="T21" s="143">
        <f t="shared" si="4"/>
        <v>-1006.62</v>
      </c>
      <c r="U21" s="143">
        <f t="shared" si="4"/>
        <v>-1035.5400000000002</v>
      </c>
      <c r="V21" s="143">
        <f t="shared" si="4"/>
        <v>-1064.46</v>
      </c>
      <c r="W21" s="143">
        <f t="shared" si="4"/>
        <v>-1093.3800000000001</v>
      </c>
      <c r="X21" s="143">
        <f t="shared" si="4"/>
        <v>-1122.3000000000002</v>
      </c>
      <c r="Y21" s="143">
        <f t="shared" si="4"/>
        <v>-1151.2199999999998</v>
      </c>
      <c r="Z21" s="143">
        <f t="shared" si="4"/>
        <v>-1176.0800000000002</v>
      </c>
      <c r="AA21" s="143">
        <f t="shared" si="4"/>
        <v>-1200.94</v>
      </c>
    </row>
    <row r="22" spans="1:27" s="47" customFormat="1" outlineLevel="1">
      <c r="B22" s="5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row>
    <row r="23" spans="1:27" s="53" customFormat="1" outlineLevel="1">
      <c r="B23" s="36" t="s">
        <v>45</v>
      </c>
      <c r="D23" s="102">
        <f>-Inputs!$C$33/(Inputs!$C$39*12)</f>
        <v>-41.666666666666664</v>
      </c>
      <c r="E23" s="102">
        <f>-Inputs!$C$33/(Inputs!$C$39*12)</f>
        <v>-41.666666666666664</v>
      </c>
      <c r="F23" s="102">
        <f>-Inputs!$C$33/(Inputs!$C$39*12)</f>
        <v>-41.666666666666664</v>
      </c>
      <c r="G23" s="102">
        <f>-Inputs!$C$33/(Inputs!$C$39*12)</f>
        <v>-41.666666666666664</v>
      </c>
      <c r="H23" s="102">
        <f>-Inputs!$C$33/(Inputs!$C$39*12)</f>
        <v>-41.666666666666664</v>
      </c>
      <c r="I23" s="102">
        <f>-Inputs!$C$33/(Inputs!$C$39*12)</f>
        <v>-41.666666666666664</v>
      </c>
      <c r="J23" s="102">
        <f>-Inputs!$C$33/(Inputs!$C$39*12)</f>
        <v>-41.666666666666664</v>
      </c>
      <c r="K23" s="102">
        <f>-Inputs!$C$33/(Inputs!$C$39*12)</f>
        <v>-41.666666666666664</v>
      </c>
      <c r="L23" s="102">
        <f>-Inputs!$C$33/(Inputs!$C$39*12)</f>
        <v>-41.666666666666664</v>
      </c>
      <c r="M23" s="102">
        <f>-Inputs!$C$33/(Inputs!$C$39*12)</f>
        <v>-41.666666666666664</v>
      </c>
      <c r="N23" s="102">
        <f>-Inputs!$C$33/(Inputs!$C$39*12)</f>
        <v>-41.666666666666664</v>
      </c>
      <c r="O23" s="102">
        <f>-Inputs!$C$33/(Inputs!$C$39*12)</f>
        <v>-41.666666666666664</v>
      </c>
      <c r="P23" s="102">
        <f>-Inputs!$C$33/(Inputs!$C$39*12)</f>
        <v>-41.666666666666664</v>
      </c>
      <c r="Q23" s="102">
        <f>-Inputs!$C$33/(Inputs!$C$39*12)</f>
        <v>-41.666666666666664</v>
      </c>
      <c r="R23" s="102">
        <f>-Inputs!$C$33/(Inputs!$C$39*12)</f>
        <v>-41.666666666666664</v>
      </c>
      <c r="S23" s="102">
        <f>-Inputs!$C$33/(Inputs!$C$39*12)</f>
        <v>-41.666666666666664</v>
      </c>
      <c r="T23" s="102">
        <f>-Inputs!$C$33/(Inputs!$C$39*12)</f>
        <v>-41.666666666666664</v>
      </c>
      <c r="U23" s="102">
        <f>-Inputs!$C$33/(Inputs!$C$39*12)</f>
        <v>-41.666666666666664</v>
      </c>
      <c r="V23" s="102">
        <f>-Inputs!$C$33/(Inputs!$C$39*12)</f>
        <v>-41.666666666666664</v>
      </c>
      <c r="W23" s="102">
        <f>-Inputs!$C$33/(Inputs!$C$39*12)</f>
        <v>-41.666666666666664</v>
      </c>
      <c r="X23" s="102">
        <f>-Inputs!$C$33/(Inputs!$C$39*12)</f>
        <v>-41.666666666666664</v>
      </c>
      <c r="Y23" s="102">
        <f>-Inputs!$C$33/(Inputs!$C$39*12)</f>
        <v>-41.666666666666664</v>
      </c>
      <c r="Z23" s="102">
        <f>-Inputs!$C$33/(Inputs!$C$39*12)</f>
        <v>-41.666666666666664</v>
      </c>
      <c r="AA23" s="102">
        <f>-Inputs!$C$33/(Inputs!$C$39*12)</f>
        <v>-41.666666666666664</v>
      </c>
    </row>
    <row r="24" spans="1:27" s="42" customFormat="1" outlineLevel="1">
      <c r="B24" s="48" t="s">
        <v>79</v>
      </c>
      <c r="D24" s="143">
        <f>SUM(D21:D23)</f>
        <v>-726.51666666666665</v>
      </c>
      <c r="E24" s="143">
        <f t="shared" ref="E24:AA24" si="5">SUM(E21:E23)</f>
        <v>-738.77666666666664</v>
      </c>
      <c r="F24" s="143">
        <f t="shared" si="5"/>
        <v>-751.03666666666663</v>
      </c>
      <c r="G24" s="143">
        <f t="shared" si="5"/>
        <v>-763.29666666666662</v>
      </c>
      <c r="H24" s="143">
        <f t="shared" si="5"/>
        <v>-775.55666666666662</v>
      </c>
      <c r="I24" s="143">
        <f t="shared" si="5"/>
        <v>-787.81666666666661</v>
      </c>
      <c r="J24" s="143">
        <f t="shared" si="5"/>
        <v>-800.0766666666666</v>
      </c>
      <c r="K24" s="143">
        <f t="shared" si="5"/>
        <v>-812.33666666666659</v>
      </c>
      <c r="L24" s="143">
        <f t="shared" si="5"/>
        <v>-824.59666666666658</v>
      </c>
      <c r="M24" s="143">
        <f t="shared" si="5"/>
        <v>-836.85666666666657</v>
      </c>
      <c r="N24" s="143">
        <f t="shared" si="5"/>
        <v>-849.11666666666656</v>
      </c>
      <c r="O24" s="143">
        <f t="shared" si="5"/>
        <v>-877.85666666666657</v>
      </c>
      <c r="P24" s="143">
        <f t="shared" si="5"/>
        <v>-932.6066666666668</v>
      </c>
      <c r="Q24" s="143">
        <f t="shared" si="5"/>
        <v>-961.52666666666676</v>
      </c>
      <c r="R24" s="143">
        <f t="shared" si="5"/>
        <v>-990.44666666666672</v>
      </c>
      <c r="S24" s="143">
        <f t="shared" si="5"/>
        <v>-1019.3666666666666</v>
      </c>
      <c r="T24" s="143">
        <f t="shared" si="5"/>
        <v>-1048.2866666666666</v>
      </c>
      <c r="U24" s="143">
        <f t="shared" si="5"/>
        <v>-1077.2066666666669</v>
      </c>
      <c r="V24" s="143">
        <f t="shared" si="5"/>
        <v>-1106.1266666666668</v>
      </c>
      <c r="W24" s="143">
        <f t="shared" si="5"/>
        <v>-1135.0466666666669</v>
      </c>
      <c r="X24" s="143">
        <f t="shared" si="5"/>
        <v>-1163.9666666666669</v>
      </c>
      <c r="Y24" s="143">
        <f t="shared" si="5"/>
        <v>-1192.8866666666665</v>
      </c>
      <c r="Z24" s="143">
        <f t="shared" si="5"/>
        <v>-1217.7466666666669</v>
      </c>
      <c r="AA24" s="143">
        <f t="shared" si="5"/>
        <v>-1242.6066666666668</v>
      </c>
    </row>
    <row r="25" spans="1:27" s="42" customFormat="1" outlineLevel="1">
      <c r="B25" s="48"/>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row>
    <row r="26" spans="1:27" s="45" customFormat="1" outlineLevel="1">
      <c r="B26" s="36" t="s">
        <v>80</v>
      </c>
      <c r="D26" s="102">
        <f ca="1">-D176-D206</f>
        <v>-36.820390958277848</v>
      </c>
      <c r="E26" s="102">
        <f t="shared" ref="E26:AA26" ca="1" si="6">-E176-E206</f>
        <v>-52.460272578885053</v>
      </c>
      <c r="F26" s="102">
        <f t="shared" ca="1" si="6"/>
        <v>-60.098349094833658</v>
      </c>
      <c r="G26" s="102">
        <f t="shared" ca="1" si="6"/>
        <v>-69.734611457979994</v>
      </c>
      <c r="H26" s="102">
        <f t="shared" ca="1" si="6"/>
        <v>-79.369050574826304</v>
      </c>
      <c r="I26" s="102">
        <f t="shared" ca="1" si="6"/>
        <v>-89.00165730629341</v>
      </c>
      <c r="J26" s="102">
        <f t="shared" ca="1" si="6"/>
        <v>-98.632422467492177</v>
      </c>
      <c r="K26" s="102">
        <f t="shared" ca="1" si="6"/>
        <v>-108.26133682749395</v>
      </c>
      <c r="L26" s="102">
        <f t="shared" ca="1" si="6"/>
        <v>-119.88839110909973</v>
      </c>
      <c r="M26" s="102">
        <f t="shared" ca="1" si="6"/>
        <v>-129.5135759886083</v>
      </c>
      <c r="N26" s="102">
        <f t="shared" ca="1" si="6"/>
        <v>-141.13688209558308</v>
      </c>
      <c r="O26" s="102">
        <f t="shared" ca="1" si="6"/>
        <v>-152.75830001261789</v>
      </c>
      <c r="P26" s="102">
        <f t="shared" ca="1" si="6"/>
        <v>-166.3778202751015</v>
      </c>
      <c r="Q26" s="102">
        <f t="shared" ca="1" si="6"/>
        <v>-177.995433370981</v>
      </c>
      <c r="R26" s="102">
        <f t="shared" ca="1" si="6"/>
        <v>-193.61112974052406</v>
      </c>
      <c r="S26" s="102">
        <f t="shared" ca="1" si="6"/>
        <v>-207.22489977607987</v>
      </c>
      <c r="T26" s="102">
        <f t="shared" ca="1" si="6"/>
        <v>-222.83673382183898</v>
      </c>
      <c r="U26" s="102">
        <f t="shared" ca="1" si="6"/>
        <v>-238.44662217359186</v>
      </c>
      <c r="V26" s="102">
        <f t="shared" ca="1" si="6"/>
        <v>-254.05455507848635</v>
      </c>
      <c r="W26" s="102">
        <f t="shared" ca="1" si="6"/>
        <v>-265.66052273478385</v>
      </c>
      <c r="X26" s="102">
        <f t="shared" ca="1" si="6"/>
        <v>-267.26451529161415</v>
      </c>
      <c r="Y26" s="102">
        <f t="shared" ca="1" si="6"/>
        <v>-266.86652284872929</v>
      </c>
      <c r="Z26" s="102">
        <f t="shared" ca="1" si="6"/>
        <v>-266.46653545625605</v>
      </c>
      <c r="AA26" s="102">
        <f t="shared" ca="1" si="6"/>
        <v>-266.06454311444713</v>
      </c>
    </row>
    <row r="27" spans="1:27" s="47" customFormat="1" outlineLevel="1">
      <c r="B27" s="41" t="s">
        <v>103</v>
      </c>
      <c r="D27" s="102">
        <f>IF(YEAR(D$8)=2023,Inputs!$D$19/12,Inputs!$E$19/12)</f>
        <v>150</v>
      </c>
      <c r="E27" s="102">
        <f>IF(YEAR(E$8)=2023,Inputs!$D$19/12,Inputs!$E$19/12)</f>
        <v>150</v>
      </c>
      <c r="F27" s="102">
        <f>IF(YEAR(F$8)=2023,Inputs!$D$19/12,Inputs!$E$19/12)</f>
        <v>150</v>
      </c>
      <c r="G27" s="102">
        <f>IF(YEAR(G$8)=2023,Inputs!$D$19/12,Inputs!$E$19/12)</f>
        <v>150</v>
      </c>
      <c r="H27" s="102">
        <f>IF(YEAR(H$8)=2023,Inputs!$D$19/12,Inputs!$E$19/12)</f>
        <v>150</v>
      </c>
      <c r="I27" s="102">
        <f>IF(YEAR(I$8)=2023,Inputs!$D$19/12,Inputs!$E$19/12)</f>
        <v>150</v>
      </c>
      <c r="J27" s="102">
        <f>IF(YEAR(J$8)=2023,Inputs!$D$19/12,Inputs!$E$19/12)</f>
        <v>150</v>
      </c>
      <c r="K27" s="102">
        <f>IF(YEAR(K$8)=2023,Inputs!$D$19/12,Inputs!$E$19/12)</f>
        <v>150</v>
      </c>
      <c r="L27" s="102">
        <f>IF(YEAR(L$8)=2023,Inputs!$D$19/12,Inputs!$E$19/12)</f>
        <v>150</v>
      </c>
      <c r="M27" s="102">
        <f>IF(YEAR(M$8)=2023,Inputs!$D$19/12,Inputs!$E$19/12)</f>
        <v>150</v>
      </c>
      <c r="N27" s="102">
        <f>IF(YEAR(N$8)=2023,Inputs!$D$19/12,Inputs!$E$19/12)</f>
        <v>150</v>
      </c>
      <c r="O27" s="102">
        <f>IF(YEAR(O$8)=2023,Inputs!$D$19/12,Inputs!$E$19/12)</f>
        <v>150</v>
      </c>
      <c r="P27" s="102">
        <f>IF(YEAR(P$8)=2023,Inputs!$D$19/12,Inputs!$E$19/12)</f>
        <v>100</v>
      </c>
      <c r="Q27" s="102">
        <f>IF(YEAR(Q$8)=2023,Inputs!$D$19/12,Inputs!$E$19/12)</f>
        <v>100</v>
      </c>
      <c r="R27" s="102">
        <f>IF(YEAR(R$8)=2023,Inputs!$D$19/12,Inputs!$E$19/12)</f>
        <v>100</v>
      </c>
      <c r="S27" s="102">
        <f>IF(YEAR(S$8)=2023,Inputs!$D$19/12,Inputs!$E$19/12)</f>
        <v>100</v>
      </c>
      <c r="T27" s="102">
        <f>IF(YEAR(T$8)=2023,Inputs!$D$19/12,Inputs!$E$19/12)</f>
        <v>100</v>
      </c>
      <c r="U27" s="102">
        <f>IF(YEAR(U$8)=2023,Inputs!$D$19/12,Inputs!$E$19/12)</f>
        <v>100</v>
      </c>
      <c r="V27" s="102">
        <f>IF(YEAR(V$8)=2023,Inputs!$D$19/12,Inputs!$E$19/12)</f>
        <v>100</v>
      </c>
      <c r="W27" s="102">
        <f>IF(YEAR(W$8)=2023,Inputs!$D$19/12,Inputs!$E$19/12)</f>
        <v>100</v>
      </c>
      <c r="X27" s="102">
        <f>IF(YEAR(X$8)=2023,Inputs!$D$19/12,Inputs!$E$19/12)</f>
        <v>100</v>
      </c>
      <c r="Y27" s="102">
        <f>IF(YEAR(Y$8)=2023,Inputs!$D$19/12,Inputs!$E$19/12)</f>
        <v>100</v>
      </c>
      <c r="Z27" s="102">
        <f>IF(YEAR(Z$8)=2023,Inputs!$D$19/12,Inputs!$E$19/12)</f>
        <v>100</v>
      </c>
      <c r="AA27" s="102">
        <f>IF(YEAR(AA$8)=2023,Inputs!$D$19/12,Inputs!$E$19/12)</f>
        <v>100</v>
      </c>
    </row>
    <row r="28" spans="1:27" s="45" customFormat="1" ht="16.2" outlineLevel="1" thickBot="1">
      <c r="B28" s="48" t="s">
        <v>81</v>
      </c>
      <c r="D28" s="140">
        <f ca="1">D24+D26+D27</f>
        <v>-613.33705762494446</v>
      </c>
      <c r="E28" s="140">
        <f ca="1">E24+E26+E27</f>
        <v>-641.23693924555164</v>
      </c>
      <c r="F28" s="140">
        <f t="shared" ref="F28:AA28" ca="1" si="7">F24+F26+F27</f>
        <v>-661.13501576150031</v>
      </c>
      <c r="G28" s="140">
        <f t="shared" ca="1" si="7"/>
        <v>-683.03127812464663</v>
      </c>
      <c r="H28" s="140">
        <f t="shared" ca="1" si="7"/>
        <v>-704.92571724149298</v>
      </c>
      <c r="I28" s="140">
        <f t="shared" ca="1" si="7"/>
        <v>-726.81832397296</v>
      </c>
      <c r="J28" s="140">
        <f t="shared" ca="1" si="7"/>
        <v>-748.70908913415883</v>
      </c>
      <c r="K28" s="140">
        <f t="shared" ca="1" si="7"/>
        <v>-770.59800349416059</v>
      </c>
      <c r="L28" s="140">
        <f t="shared" ca="1" si="7"/>
        <v>-794.48505777576634</v>
      </c>
      <c r="M28" s="140">
        <f t="shared" ca="1" si="7"/>
        <v>-816.37024265527486</v>
      </c>
      <c r="N28" s="140">
        <f t="shared" ca="1" si="7"/>
        <v>-840.25354876224969</v>
      </c>
      <c r="O28" s="140">
        <f t="shared" ca="1" si="7"/>
        <v>-880.61496667928441</v>
      </c>
      <c r="P28" s="140">
        <f t="shared" ca="1" si="7"/>
        <v>-998.98448694176841</v>
      </c>
      <c r="Q28" s="140">
        <f t="shared" ca="1" si="7"/>
        <v>-1039.5221000376478</v>
      </c>
      <c r="R28" s="140">
        <f t="shared" ca="1" si="7"/>
        <v>-1084.0577964071908</v>
      </c>
      <c r="S28" s="140">
        <f t="shared" ca="1" si="7"/>
        <v>-1126.5915664427464</v>
      </c>
      <c r="T28" s="140">
        <f t="shared" ca="1" si="7"/>
        <v>-1171.1234004885057</v>
      </c>
      <c r="U28" s="140">
        <f t="shared" ca="1" si="7"/>
        <v>-1215.6532888402587</v>
      </c>
      <c r="V28" s="140">
        <f t="shared" ca="1" si="7"/>
        <v>-1260.1812217451532</v>
      </c>
      <c r="W28" s="140">
        <f t="shared" ca="1" si="7"/>
        <v>-1300.7071894014507</v>
      </c>
      <c r="X28" s="140">
        <f t="shared" ca="1" si="7"/>
        <v>-1331.231181958281</v>
      </c>
      <c r="Y28" s="140">
        <f t="shared" ca="1" si="7"/>
        <v>-1359.7531895153959</v>
      </c>
      <c r="Z28" s="140">
        <f t="shared" ca="1" si="7"/>
        <v>-1384.2132021229229</v>
      </c>
      <c r="AA28" s="140">
        <f t="shared" ca="1" si="7"/>
        <v>-1408.6712097811139</v>
      </c>
    </row>
    <row r="29" spans="1:27" s="45" customFormat="1" outlineLevel="1">
      <c r="D29" s="103"/>
      <c r="E29" s="103"/>
      <c r="F29" s="103"/>
      <c r="G29" s="103"/>
      <c r="H29" s="103"/>
      <c r="I29" s="103"/>
      <c r="J29" s="103"/>
      <c r="K29" s="103"/>
      <c r="L29" s="103"/>
      <c r="M29" s="103"/>
      <c r="N29" s="103"/>
      <c r="O29" s="103"/>
      <c r="P29" s="103"/>
      <c r="Q29" s="103"/>
      <c r="R29" s="103"/>
      <c r="S29" s="103"/>
      <c r="T29" s="103"/>
      <c r="U29" s="103"/>
      <c r="V29" s="103"/>
      <c r="W29" s="103"/>
      <c r="X29" s="103"/>
      <c r="Y29" s="103"/>
      <c r="Z29" s="103"/>
      <c r="AA29" s="103"/>
    </row>
    <row r="30" spans="1:27" outlineLevel="1"/>
    <row r="31" spans="1:27" s="47" customFormat="1" outlineLevel="1">
      <c r="A31" s="47" t="s">
        <v>38</v>
      </c>
      <c r="B31" s="50" t="s">
        <v>41</v>
      </c>
      <c r="C31" s="50"/>
      <c r="D31" s="37"/>
      <c r="E31" s="37"/>
      <c r="F31" s="37"/>
      <c r="G31" s="37"/>
      <c r="H31" s="37"/>
      <c r="I31" s="37"/>
      <c r="J31" s="37"/>
      <c r="K31" s="37"/>
      <c r="L31" s="37"/>
      <c r="M31" s="37"/>
      <c r="N31" s="37"/>
      <c r="O31" s="37"/>
      <c r="P31" s="37"/>
      <c r="Q31" s="37"/>
      <c r="R31" s="37"/>
      <c r="S31" s="37"/>
      <c r="T31" s="37"/>
      <c r="U31" s="37"/>
      <c r="V31" s="37"/>
      <c r="W31" s="37"/>
      <c r="X31" s="37"/>
      <c r="Y31" s="37"/>
      <c r="Z31" s="37"/>
      <c r="AA31" s="37"/>
    </row>
    <row r="32" spans="1:27" outlineLevel="1"/>
    <row r="33" spans="2:27" s="36" customFormat="1" outlineLevel="1">
      <c r="B33" s="107" t="s">
        <v>42</v>
      </c>
      <c r="C33" s="107"/>
      <c r="D33" s="41"/>
      <c r="E33" s="41"/>
    </row>
    <row r="34" spans="2:27" s="36" customFormat="1" outlineLevel="1"/>
    <row r="35" spans="2:27" s="36" customFormat="1" outlineLevel="1">
      <c r="B35" s="110" t="s">
        <v>30</v>
      </c>
      <c r="D35" s="102">
        <f>D$14*(IF(YEAR(D$8)=2023,Inputs!$D$50,Inputs!$E$50))</f>
        <v>244.625</v>
      </c>
      <c r="E35" s="102">
        <f>E$14*(IF(YEAR(E$8)=2023,Inputs!$D$50,Inputs!$E$50))</f>
        <v>249.77500000000001</v>
      </c>
      <c r="F35" s="102">
        <f>F$14*(IF(YEAR(F$8)=2023,Inputs!$D$50,Inputs!$E$50))</f>
        <v>254.92500000000001</v>
      </c>
      <c r="G35" s="102">
        <f>G$14*(IF(YEAR(G$8)=2023,Inputs!$D$50,Inputs!$E$50))</f>
        <v>260.07499999999999</v>
      </c>
      <c r="H35" s="102">
        <f>H$14*(IF(YEAR(H$8)=2023,Inputs!$D$50,Inputs!$E$50))</f>
        <v>265.22500000000002</v>
      </c>
      <c r="I35" s="102">
        <f>I$14*(IF(YEAR(I$8)=2023,Inputs!$D$50,Inputs!$E$50))</f>
        <v>270.375</v>
      </c>
      <c r="J35" s="102">
        <f>J$14*(IF(YEAR(J$8)=2023,Inputs!$D$50,Inputs!$E$50))</f>
        <v>275.52500000000003</v>
      </c>
      <c r="K35" s="102">
        <f>K$14*(IF(YEAR(K$8)=2023,Inputs!$D$50,Inputs!$E$50))</f>
        <v>280.67500000000001</v>
      </c>
      <c r="L35" s="102">
        <f>L$14*(IF(YEAR(L$8)=2023,Inputs!$D$50,Inputs!$E$50))</f>
        <v>285.82499999999999</v>
      </c>
      <c r="M35" s="102">
        <f>M$14*(IF(YEAR(M$8)=2023,Inputs!$D$50,Inputs!$E$50))</f>
        <v>290.97500000000002</v>
      </c>
      <c r="N35" s="102">
        <f>N$14*(IF(YEAR(N$8)=2023,Inputs!$D$50,Inputs!$E$50))</f>
        <v>296.125</v>
      </c>
      <c r="O35" s="102">
        <f>O$14*(IF(YEAR(O$8)=2023,Inputs!$D$50,Inputs!$E$50))</f>
        <v>290.97500000000002</v>
      </c>
      <c r="P35" s="102">
        <f>P$14*(IF(YEAR(P$8)=2023,Inputs!$D$50,Inputs!$E$50))</f>
        <v>247.86299999999997</v>
      </c>
      <c r="Q35" s="102">
        <f>Q$14*(IF(YEAR(Q$8)=2023,Inputs!$D$50,Inputs!$E$50))</f>
        <v>243.39699999999999</v>
      </c>
      <c r="R35" s="102">
        <f>R$14*(IF(YEAR(R$8)=2023,Inputs!$D$50,Inputs!$E$50))</f>
        <v>238.93099999999998</v>
      </c>
      <c r="S35" s="102">
        <f>S$14*(IF(YEAR(S$8)=2023,Inputs!$D$50,Inputs!$E$50))</f>
        <v>234.465</v>
      </c>
      <c r="T35" s="102">
        <f>T$14*(IF(YEAR(T$8)=2023,Inputs!$D$50,Inputs!$E$50))</f>
        <v>229.99899999999997</v>
      </c>
      <c r="U35" s="102">
        <f>U$14*(IF(YEAR(U$8)=2023,Inputs!$D$50,Inputs!$E$50))</f>
        <v>225.53299999999996</v>
      </c>
      <c r="V35" s="102">
        <f>V$14*(IF(YEAR(V$8)=2023,Inputs!$D$50,Inputs!$E$50))</f>
        <v>221.06699999999998</v>
      </c>
      <c r="W35" s="102">
        <f>W$14*(IF(YEAR(W$8)=2023,Inputs!$D$50,Inputs!$E$50))</f>
        <v>216.601</v>
      </c>
      <c r="X35" s="102">
        <f>X$14*(IF(YEAR(X$8)=2023,Inputs!$D$50,Inputs!$E$50))</f>
        <v>212.13499999999996</v>
      </c>
      <c r="Y35" s="102">
        <f>Y$14*(IF(YEAR(Y$8)=2023,Inputs!$D$50,Inputs!$E$50))</f>
        <v>207.66899999999998</v>
      </c>
      <c r="Z35" s="102">
        <f>Z$14*(IF(YEAR(Z$8)=2023,Inputs!$D$50,Inputs!$E$50))</f>
        <v>205.43599999999998</v>
      </c>
      <c r="AA35" s="102">
        <f>AA$14*(IF(YEAR(AA$8)=2023,Inputs!$D$50,Inputs!$E$50))</f>
        <v>203.20299999999997</v>
      </c>
    </row>
    <row r="36" spans="2:27" s="36" customFormat="1" outlineLevel="1">
      <c r="B36" s="110" t="s">
        <v>43</v>
      </c>
      <c r="D36" s="102">
        <f>D$14*(IF(YEAR(D$8)=2023,Inputs!$D$55,Inputs!$E$55))</f>
        <v>195.70000000000002</v>
      </c>
      <c r="E36" s="102">
        <f>E$14*(IF(YEAR(E$8)=2023,Inputs!$D$55,Inputs!$E$55))</f>
        <v>199.82000000000002</v>
      </c>
      <c r="F36" s="102">
        <f>F$14*(IF(YEAR(F$8)=2023,Inputs!$D$55,Inputs!$E$55))</f>
        <v>203.94000000000003</v>
      </c>
      <c r="G36" s="102">
        <f>G$14*(IF(YEAR(G$8)=2023,Inputs!$D$55,Inputs!$E$55))</f>
        <v>208.06</v>
      </c>
      <c r="H36" s="102">
        <f>H$14*(IF(YEAR(H$8)=2023,Inputs!$D$55,Inputs!$E$55))</f>
        <v>212.18000000000004</v>
      </c>
      <c r="I36" s="102">
        <f>I$14*(IF(YEAR(I$8)=2023,Inputs!$D$55,Inputs!$E$55))</f>
        <v>216.3</v>
      </c>
      <c r="J36" s="102">
        <f>J$14*(IF(YEAR(J$8)=2023,Inputs!$D$55,Inputs!$E$55))</f>
        <v>220.42000000000004</v>
      </c>
      <c r="K36" s="102">
        <f>K$14*(IF(YEAR(K$8)=2023,Inputs!$D$55,Inputs!$E$55))</f>
        <v>224.54000000000002</v>
      </c>
      <c r="L36" s="102">
        <f>L$14*(IF(YEAR(L$8)=2023,Inputs!$D$55,Inputs!$E$55))</f>
        <v>228.66</v>
      </c>
      <c r="M36" s="102">
        <f>M$14*(IF(YEAR(M$8)=2023,Inputs!$D$55,Inputs!$E$55))</f>
        <v>232.78000000000003</v>
      </c>
      <c r="N36" s="102">
        <f>N$14*(IF(YEAR(N$8)=2023,Inputs!$D$55,Inputs!$E$55))</f>
        <v>236.9</v>
      </c>
      <c r="O36" s="102">
        <f>O$14*(IF(YEAR(O$8)=2023,Inputs!$D$55,Inputs!$E$55))</f>
        <v>232.78000000000003</v>
      </c>
      <c r="P36" s="102">
        <f>P$14*(IF(YEAR(P$8)=2023,Inputs!$D$55,Inputs!$E$55))</f>
        <v>191.53049999999999</v>
      </c>
      <c r="Q36" s="102">
        <f>Q$14*(IF(YEAR(Q$8)=2023,Inputs!$D$55,Inputs!$E$55))</f>
        <v>188.0795</v>
      </c>
      <c r="R36" s="102">
        <f>R$14*(IF(YEAR(R$8)=2023,Inputs!$D$55,Inputs!$E$55))</f>
        <v>184.6285</v>
      </c>
      <c r="S36" s="102">
        <f>S$14*(IF(YEAR(S$8)=2023,Inputs!$D$55,Inputs!$E$55))</f>
        <v>181.17750000000001</v>
      </c>
      <c r="T36" s="102">
        <f>T$14*(IF(YEAR(T$8)=2023,Inputs!$D$55,Inputs!$E$55))</f>
        <v>177.72649999999999</v>
      </c>
      <c r="U36" s="102">
        <f>U$14*(IF(YEAR(U$8)=2023,Inputs!$D$55,Inputs!$E$55))</f>
        <v>174.27549999999999</v>
      </c>
      <c r="V36" s="102">
        <f>V$14*(IF(YEAR(V$8)=2023,Inputs!$D$55,Inputs!$E$55))</f>
        <v>170.8245</v>
      </c>
      <c r="W36" s="102">
        <f>W$14*(IF(YEAR(W$8)=2023,Inputs!$D$55,Inputs!$E$55))</f>
        <v>167.37350000000001</v>
      </c>
      <c r="X36" s="102">
        <f>X$14*(IF(YEAR(X$8)=2023,Inputs!$D$55,Inputs!$E$55))</f>
        <v>163.92249999999999</v>
      </c>
      <c r="Y36" s="102">
        <f>Y$14*(IF(YEAR(Y$8)=2023,Inputs!$D$55,Inputs!$E$55))</f>
        <v>160.47149999999999</v>
      </c>
      <c r="Z36" s="102">
        <f>Z$14*(IF(YEAR(Z$8)=2023,Inputs!$D$55,Inputs!$E$55))</f>
        <v>158.74600000000001</v>
      </c>
      <c r="AA36" s="102">
        <f>AA$14*(IF(YEAR(AA$8)=2023,Inputs!$D$55,Inputs!$E$55))</f>
        <v>157.0205</v>
      </c>
    </row>
    <row r="37" spans="2:27" s="36" customFormat="1" outlineLevel="1">
      <c r="B37" s="110" t="s">
        <v>31</v>
      </c>
      <c r="D37" s="102">
        <f>D$14*(IF(YEAR(D$8)=2023,Inputs!$D$60,Inputs!$E$60))</f>
        <v>176.13</v>
      </c>
      <c r="E37" s="102">
        <f>E$14*(IF(YEAR(E$8)=2023,Inputs!$D$60,Inputs!$E$60))</f>
        <v>179.83799999999999</v>
      </c>
      <c r="F37" s="102">
        <f>F$14*(IF(YEAR(F$8)=2023,Inputs!$D$60,Inputs!$E$60))</f>
        <v>183.54599999999999</v>
      </c>
      <c r="G37" s="102">
        <f>G$14*(IF(YEAR(G$8)=2023,Inputs!$D$60,Inputs!$E$60))</f>
        <v>187.25399999999999</v>
      </c>
      <c r="H37" s="102">
        <f>H$14*(IF(YEAR(H$8)=2023,Inputs!$D$60,Inputs!$E$60))</f>
        <v>190.96200000000002</v>
      </c>
      <c r="I37" s="102">
        <f>I$14*(IF(YEAR(I$8)=2023,Inputs!$D$60,Inputs!$E$60))</f>
        <v>194.67</v>
      </c>
      <c r="J37" s="102">
        <f>J$14*(IF(YEAR(J$8)=2023,Inputs!$D$60,Inputs!$E$60))</f>
        <v>198.37800000000001</v>
      </c>
      <c r="K37" s="102">
        <f>K$14*(IF(YEAR(K$8)=2023,Inputs!$D$60,Inputs!$E$60))</f>
        <v>202.08600000000001</v>
      </c>
      <c r="L37" s="102">
        <f>L$14*(IF(YEAR(L$8)=2023,Inputs!$D$60,Inputs!$E$60))</f>
        <v>205.79399999999998</v>
      </c>
      <c r="M37" s="102">
        <f>M$14*(IF(YEAR(M$8)=2023,Inputs!$D$60,Inputs!$E$60))</f>
        <v>209.50200000000001</v>
      </c>
      <c r="N37" s="102">
        <f>N$14*(IF(YEAR(N$8)=2023,Inputs!$D$60,Inputs!$E$60))</f>
        <v>213.20999999999998</v>
      </c>
      <c r="O37" s="102">
        <f>O$14*(IF(YEAR(O$8)=2023,Inputs!$D$60,Inputs!$E$60))</f>
        <v>209.50200000000001</v>
      </c>
      <c r="P37" s="102">
        <f>P$14*(IF(YEAR(P$8)=2023,Inputs!$D$60,Inputs!$E$60))</f>
        <v>202.79699999999997</v>
      </c>
      <c r="Q37" s="102">
        <f>Q$14*(IF(YEAR(Q$8)=2023,Inputs!$D$60,Inputs!$E$60))</f>
        <v>199.14299999999997</v>
      </c>
      <c r="R37" s="102">
        <f>R$14*(IF(YEAR(R$8)=2023,Inputs!$D$60,Inputs!$E$60))</f>
        <v>195.48899999999998</v>
      </c>
      <c r="S37" s="102">
        <f>S$14*(IF(YEAR(S$8)=2023,Inputs!$D$60,Inputs!$E$60))</f>
        <v>191.83499999999998</v>
      </c>
      <c r="T37" s="102">
        <f>T$14*(IF(YEAR(T$8)=2023,Inputs!$D$60,Inputs!$E$60))</f>
        <v>188.18099999999995</v>
      </c>
      <c r="U37" s="102">
        <f>U$14*(IF(YEAR(U$8)=2023,Inputs!$D$60,Inputs!$E$60))</f>
        <v>184.52699999999996</v>
      </c>
      <c r="V37" s="102">
        <f>V$14*(IF(YEAR(V$8)=2023,Inputs!$D$60,Inputs!$E$60))</f>
        <v>180.87299999999999</v>
      </c>
      <c r="W37" s="102">
        <f>W$14*(IF(YEAR(W$8)=2023,Inputs!$D$60,Inputs!$E$60))</f>
        <v>177.21899999999999</v>
      </c>
      <c r="X37" s="102">
        <f>X$14*(IF(YEAR(X$8)=2023,Inputs!$D$60,Inputs!$E$60))</f>
        <v>173.56499999999997</v>
      </c>
      <c r="Y37" s="102">
        <f>Y$14*(IF(YEAR(Y$8)=2023,Inputs!$D$60,Inputs!$E$60))</f>
        <v>169.91099999999997</v>
      </c>
      <c r="Z37" s="102">
        <f>Z$14*(IF(YEAR(Z$8)=2023,Inputs!$D$60,Inputs!$E$60))</f>
        <v>168.08399999999997</v>
      </c>
      <c r="AA37" s="102">
        <f>AA$14*(IF(YEAR(AA$8)=2023,Inputs!$D$60,Inputs!$E$60))</f>
        <v>166.25699999999998</v>
      </c>
    </row>
    <row r="38" spans="2:27" s="36" customFormat="1" outlineLevel="1">
      <c r="B38" s="110" t="s">
        <v>32</v>
      </c>
      <c r="D38" s="102">
        <f>D$14*IF(YEAR(D$8)=2023,Inputs!$D$65,Inputs!$E$65)</f>
        <v>146.77500000000001</v>
      </c>
      <c r="E38" s="102">
        <f>E$14*IF(YEAR(E$8)=2023,Inputs!$D$65,Inputs!$E$65)</f>
        <v>149.86500000000001</v>
      </c>
      <c r="F38" s="102">
        <f>F$14*IF(YEAR(F$8)=2023,Inputs!$D$65,Inputs!$E$65)</f>
        <v>152.95500000000001</v>
      </c>
      <c r="G38" s="102">
        <f>G$14*IF(YEAR(G$8)=2023,Inputs!$D$65,Inputs!$E$65)</f>
        <v>156.04499999999999</v>
      </c>
      <c r="H38" s="102">
        <f>H$14*IF(YEAR(H$8)=2023,Inputs!$D$65,Inputs!$E$65)</f>
        <v>159.13500000000002</v>
      </c>
      <c r="I38" s="102">
        <f>I$14*IF(YEAR(I$8)=2023,Inputs!$D$65,Inputs!$E$65)</f>
        <v>162.22499999999999</v>
      </c>
      <c r="J38" s="102">
        <f>J$14*IF(YEAR(J$8)=2023,Inputs!$D$65,Inputs!$E$65)</f>
        <v>165.31500000000003</v>
      </c>
      <c r="K38" s="102">
        <f>K$14*IF(YEAR(K$8)=2023,Inputs!$D$65,Inputs!$E$65)</f>
        <v>168.405</v>
      </c>
      <c r="L38" s="102">
        <f>L$14*IF(YEAR(L$8)=2023,Inputs!$D$65,Inputs!$E$65)</f>
        <v>171.49499999999998</v>
      </c>
      <c r="M38" s="102">
        <f>M$14*IF(YEAR(M$8)=2023,Inputs!$D$65,Inputs!$E$65)</f>
        <v>174.58500000000001</v>
      </c>
      <c r="N38" s="102">
        <f>N$14*IF(YEAR(N$8)=2023,Inputs!$D$65,Inputs!$E$65)</f>
        <v>177.67499999999998</v>
      </c>
      <c r="O38" s="102">
        <f>O$14*IF(YEAR(O$8)=2023,Inputs!$D$65,Inputs!$E$65)</f>
        <v>174.58500000000001</v>
      </c>
      <c r="P38" s="102">
        <f>P$14*IF(YEAR(P$8)=2023,Inputs!$D$65,Inputs!$E$65)</f>
        <v>168.99749999999997</v>
      </c>
      <c r="Q38" s="102">
        <f>Q$14*IF(YEAR(Q$8)=2023,Inputs!$D$65,Inputs!$E$65)</f>
        <v>165.95249999999999</v>
      </c>
      <c r="R38" s="102">
        <f>R$14*IF(YEAR(R$8)=2023,Inputs!$D$65,Inputs!$E$65)</f>
        <v>162.9075</v>
      </c>
      <c r="S38" s="102">
        <f>S$14*IF(YEAR(S$8)=2023,Inputs!$D$65,Inputs!$E$65)</f>
        <v>159.86249999999998</v>
      </c>
      <c r="T38" s="102">
        <f>T$14*IF(YEAR(T$8)=2023,Inputs!$D$65,Inputs!$E$65)</f>
        <v>156.81749999999997</v>
      </c>
      <c r="U38" s="102">
        <f>U$14*IF(YEAR(U$8)=2023,Inputs!$D$65,Inputs!$E$65)</f>
        <v>153.77249999999998</v>
      </c>
      <c r="V38" s="102">
        <f>V$14*IF(YEAR(V$8)=2023,Inputs!$D$65,Inputs!$E$65)</f>
        <v>150.72749999999999</v>
      </c>
      <c r="W38" s="102">
        <f>W$14*IF(YEAR(W$8)=2023,Inputs!$D$65,Inputs!$E$65)</f>
        <v>147.68249999999998</v>
      </c>
      <c r="X38" s="102">
        <f>X$14*IF(YEAR(X$8)=2023,Inputs!$D$65,Inputs!$E$65)</f>
        <v>144.63749999999999</v>
      </c>
      <c r="Y38" s="102">
        <f>Y$14*IF(YEAR(Y$8)=2023,Inputs!$D$65,Inputs!$E$65)</f>
        <v>141.59249999999997</v>
      </c>
      <c r="Z38" s="102">
        <f>Z$14*IF(YEAR(Z$8)=2023,Inputs!$D$65,Inputs!$E$65)</f>
        <v>140.07</v>
      </c>
      <c r="AA38" s="102">
        <f>AA$14*IF(YEAR(AA$8)=2023,Inputs!$D$65,Inputs!$E$65)</f>
        <v>138.54749999999999</v>
      </c>
    </row>
    <row r="39" spans="2:27" s="36" customFormat="1" outlineLevel="1">
      <c r="B39" s="110" t="s">
        <v>33</v>
      </c>
      <c r="D39" s="102">
        <f>D$14*IF(YEAR(D$8)=2023,Inputs!$D$70,Inputs!$E$70)</f>
        <v>117.42</v>
      </c>
      <c r="E39" s="102">
        <f>E$14*IF(YEAR(E$8)=2023,Inputs!$D$70,Inputs!$E$70)</f>
        <v>119.892</v>
      </c>
      <c r="F39" s="102">
        <f>F$14*IF(YEAR(F$8)=2023,Inputs!$D$70,Inputs!$E$70)</f>
        <v>122.364</v>
      </c>
      <c r="G39" s="102">
        <f>G$14*IF(YEAR(G$8)=2023,Inputs!$D$70,Inputs!$E$70)</f>
        <v>124.83599999999998</v>
      </c>
      <c r="H39" s="102">
        <f>H$14*IF(YEAR(H$8)=2023,Inputs!$D$70,Inputs!$E$70)</f>
        <v>127.30800000000001</v>
      </c>
      <c r="I39" s="102">
        <f>I$14*IF(YEAR(I$8)=2023,Inputs!$D$70,Inputs!$E$70)</f>
        <v>129.78</v>
      </c>
      <c r="J39" s="102">
        <f>J$14*IF(YEAR(J$8)=2023,Inputs!$D$70,Inputs!$E$70)</f>
        <v>132.25200000000001</v>
      </c>
      <c r="K39" s="102">
        <f>K$14*IF(YEAR(K$8)=2023,Inputs!$D$70,Inputs!$E$70)</f>
        <v>134.72399999999999</v>
      </c>
      <c r="L39" s="102">
        <f>L$14*IF(YEAR(L$8)=2023,Inputs!$D$70,Inputs!$E$70)</f>
        <v>137.196</v>
      </c>
      <c r="M39" s="102">
        <f>M$14*IF(YEAR(M$8)=2023,Inputs!$D$70,Inputs!$E$70)</f>
        <v>139.66800000000001</v>
      </c>
      <c r="N39" s="102">
        <f>N$14*IF(YEAR(N$8)=2023,Inputs!$D$70,Inputs!$E$70)</f>
        <v>142.13999999999999</v>
      </c>
      <c r="O39" s="102">
        <f>O$14*IF(YEAR(O$8)=2023,Inputs!$D$70,Inputs!$E$70)</f>
        <v>139.66800000000001</v>
      </c>
      <c r="P39" s="102">
        <f>P$14*IF(YEAR(P$8)=2023,Inputs!$D$70,Inputs!$E$70)</f>
        <v>146.46449999999999</v>
      </c>
      <c r="Q39" s="102">
        <f>Q$14*IF(YEAR(Q$8)=2023,Inputs!$D$70,Inputs!$E$70)</f>
        <v>143.82550000000001</v>
      </c>
      <c r="R39" s="102">
        <f>R$14*IF(YEAR(R$8)=2023,Inputs!$D$70,Inputs!$E$70)</f>
        <v>141.1865</v>
      </c>
      <c r="S39" s="102">
        <f>S$14*IF(YEAR(S$8)=2023,Inputs!$D$70,Inputs!$E$70)</f>
        <v>138.54750000000001</v>
      </c>
      <c r="T39" s="102">
        <f>T$14*IF(YEAR(T$8)=2023,Inputs!$D$70,Inputs!$E$70)</f>
        <v>135.90849999999998</v>
      </c>
      <c r="U39" s="102">
        <f>U$14*IF(YEAR(U$8)=2023,Inputs!$D$70,Inputs!$E$70)</f>
        <v>133.26949999999999</v>
      </c>
      <c r="V39" s="102">
        <f>V$14*IF(YEAR(V$8)=2023,Inputs!$D$70,Inputs!$E$70)</f>
        <v>130.63049999999998</v>
      </c>
      <c r="W39" s="102">
        <f>W$14*IF(YEAR(W$8)=2023,Inputs!$D$70,Inputs!$E$70)</f>
        <v>127.9915</v>
      </c>
      <c r="X39" s="102">
        <f>X$14*IF(YEAR(X$8)=2023,Inputs!$D$70,Inputs!$E$70)</f>
        <v>125.35249999999999</v>
      </c>
      <c r="Y39" s="102">
        <f>Y$14*IF(YEAR(Y$8)=2023,Inputs!$D$70,Inputs!$E$70)</f>
        <v>122.7135</v>
      </c>
      <c r="Z39" s="102">
        <f>Z$14*IF(YEAR(Z$8)=2023,Inputs!$D$70,Inputs!$E$70)</f>
        <v>121.39399999999999</v>
      </c>
      <c r="AA39" s="102">
        <f>AA$14*IF(YEAR(AA$8)=2023,Inputs!$D$70,Inputs!$E$70)</f>
        <v>120.07449999999999</v>
      </c>
    </row>
    <row r="40" spans="2:27" s="36" customFormat="1" outlineLevel="1">
      <c r="B40" s="110" t="s">
        <v>34</v>
      </c>
      <c r="D40" s="102">
        <f>D$14*IF(YEAR(D$8)=2023,Inputs!$D$75,Inputs!$E$75)</f>
        <v>97.850000000000009</v>
      </c>
      <c r="E40" s="102">
        <f>E$14*IF(YEAR(E$8)=2023,Inputs!$D$75,Inputs!$E$75)</f>
        <v>99.910000000000011</v>
      </c>
      <c r="F40" s="102">
        <f>F$14*IF(YEAR(F$8)=2023,Inputs!$D$75,Inputs!$E$75)</f>
        <v>101.97000000000001</v>
      </c>
      <c r="G40" s="102">
        <f>G$14*IF(YEAR(G$8)=2023,Inputs!$D$75,Inputs!$E$75)</f>
        <v>104.03</v>
      </c>
      <c r="H40" s="102">
        <f>H$14*IF(YEAR(H$8)=2023,Inputs!$D$75,Inputs!$E$75)</f>
        <v>106.09000000000002</v>
      </c>
      <c r="I40" s="102">
        <f>I$14*IF(YEAR(I$8)=2023,Inputs!$D$75,Inputs!$E$75)</f>
        <v>108.15</v>
      </c>
      <c r="J40" s="102">
        <f>J$14*IF(YEAR(J$8)=2023,Inputs!$D$75,Inputs!$E$75)</f>
        <v>110.21000000000002</v>
      </c>
      <c r="K40" s="102">
        <f>K$14*IF(YEAR(K$8)=2023,Inputs!$D$75,Inputs!$E$75)</f>
        <v>112.27000000000001</v>
      </c>
      <c r="L40" s="102">
        <f>L$14*IF(YEAR(L$8)=2023,Inputs!$D$75,Inputs!$E$75)</f>
        <v>114.33</v>
      </c>
      <c r="M40" s="102">
        <f>M$14*IF(YEAR(M$8)=2023,Inputs!$D$75,Inputs!$E$75)</f>
        <v>116.39000000000001</v>
      </c>
      <c r="N40" s="102">
        <f>N$14*IF(YEAR(N$8)=2023,Inputs!$D$75,Inputs!$E$75)</f>
        <v>118.45</v>
      </c>
      <c r="O40" s="102">
        <f>O$14*IF(YEAR(O$8)=2023,Inputs!$D$75,Inputs!$E$75)</f>
        <v>116.39000000000001</v>
      </c>
      <c r="P40" s="102">
        <f>P$14*IF(YEAR(P$8)=2023,Inputs!$D$75,Inputs!$E$75)</f>
        <v>168.99749999999997</v>
      </c>
      <c r="Q40" s="102">
        <f>Q$14*IF(YEAR(Q$8)=2023,Inputs!$D$75,Inputs!$E$75)</f>
        <v>165.95249999999999</v>
      </c>
      <c r="R40" s="102">
        <f>R$14*IF(YEAR(R$8)=2023,Inputs!$D$75,Inputs!$E$75)</f>
        <v>162.9075</v>
      </c>
      <c r="S40" s="102">
        <f>S$14*IF(YEAR(S$8)=2023,Inputs!$D$75,Inputs!$E$75)</f>
        <v>159.86249999999998</v>
      </c>
      <c r="T40" s="102">
        <f>T$14*IF(YEAR(T$8)=2023,Inputs!$D$75,Inputs!$E$75)</f>
        <v>156.81749999999997</v>
      </c>
      <c r="U40" s="102">
        <f>U$14*IF(YEAR(U$8)=2023,Inputs!$D$75,Inputs!$E$75)</f>
        <v>153.77249999999998</v>
      </c>
      <c r="V40" s="102">
        <f>V$14*IF(YEAR(V$8)=2023,Inputs!$D$75,Inputs!$E$75)</f>
        <v>150.72749999999999</v>
      </c>
      <c r="W40" s="102">
        <f>W$14*IF(YEAR(W$8)=2023,Inputs!$D$75,Inputs!$E$75)</f>
        <v>147.68249999999998</v>
      </c>
      <c r="X40" s="102">
        <f>X$14*IF(YEAR(X$8)=2023,Inputs!$D$75,Inputs!$E$75)</f>
        <v>144.63749999999999</v>
      </c>
      <c r="Y40" s="102">
        <f>Y$14*IF(YEAR(Y$8)=2023,Inputs!$D$75,Inputs!$E$75)</f>
        <v>141.59249999999997</v>
      </c>
      <c r="Z40" s="102">
        <f>Z$14*IF(YEAR(Z$8)=2023,Inputs!$D$75,Inputs!$E$75)</f>
        <v>140.07</v>
      </c>
      <c r="AA40" s="102">
        <f>AA$14*IF(YEAR(AA$8)=2023,Inputs!$D$75,Inputs!$E$75)</f>
        <v>138.54749999999999</v>
      </c>
    </row>
    <row r="41" spans="2:27" s="36" customFormat="1" outlineLevel="1">
      <c r="B41" s="110" t="s">
        <v>35</v>
      </c>
      <c r="D41" s="102">
        <f>D$14*IF(YEAR(D$8)=2023,Inputs!$D$80,Inputs!$E$80)</f>
        <v>0</v>
      </c>
      <c r="E41" s="102">
        <f>E$14*IF(YEAR(E$8)=2023,Inputs!$D$80,Inputs!$E$80)</f>
        <v>0</v>
      </c>
      <c r="F41" s="102">
        <f>F$14*IF(YEAR(F$8)=2023,Inputs!$D$80,Inputs!$E$80)</f>
        <v>0</v>
      </c>
      <c r="G41" s="102">
        <f>G$14*IF(YEAR(G$8)=2023,Inputs!$D$80,Inputs!$E$80)</f>
        <v>0</v>
      </c>
      <c r="H41" s="102">
        <f>H$14*IF(YEAR(H$8)=2023,Inputs!$D$80,Inputs!$E$80)</f>
        <v>0</v>
      </c>
      <c r="I41" s="102">
        <f>I$14*IF(YEAR(I$8)=2023,Inputs!$D$80,Inputs!$E$80)</f>
        <v>0</v>
      </c>
      <c r="J41" s="102">
        <f>J$14*IF(YEAR(J$8)=2023,Inputs!$D$80,Inputs!$E$80)</f>
        <v>0</v>
      </c>
      <c r="K41" s="102">
        <f>K$14*IF(YEAR(K$8)=2023,Inputs!$D$80,Inputs!$E$80)</f>
        <v>0</v>
      </c>
      <c r="L41" s="102">
        <f>L$14*IF(YEAR(L$8)=2023,Inputs!$D$80,Inputs!$E$80)</f>
        <v>0</v>
      </c>
      <c r="M41" s="102">
        <f>M$14*IF(YEAR(M$8)=2023,Inputs!$D$80,Inputs!$E$80)</f>
        <v>0</v>
      </c>
      <c r="N41" s="102">
        <f>N$14*IF(YEAR(N$8)=2023,Inputs!$D$80,Inputs!$E$80)</f>
        <v>0</v>
      </c>
      <c r="O41" s="102">
        <f>O$14*IF(YEAR(O$8)=2023,Inputs!$D$80,Inputs!$E$80)</f>
        <v>0</v>
      </c>
      <c r="P41" s="102">
        <f>P$14*IF(YEAR(P$8)=2023,Inputs!$D$80,Inputs!$E$80)</f>
        <v>0</v>
      </c>
      <c r="Q41" s="102">
        <f>Q$14*IF(YEAR(Q$8)=2023,Inputs!$D$80,Inputs!$E$80)</f>
        <v>0</v>
      </c>
      <c r="R41" s="102">
        <f>R$14*IF(YEAR(R$8)=2023,Inputs!$D$80,Inputs!$E$80)</f>
        <v>0</v>
      </c>
      <c r="S41" s="102">
        <f>S$14*IF(YEAR(S$8)=2023,Inputs!$D$80,Inputs!$E$80)</f>
        <v>0</v>
      </c>
      <c r="T41" s="102">
        <f>T$14*IF(YEAR(T$8)=2023,Inputs!$D$80,Inputs!$E$80)</f>
        <v>0</v>
      </c>
      <c r="U41" s="102">
        <f>U$14*IF(YEAR(U$8)=2023,Inputs!$D$80,Inputs!$E$80)</f>
        <v>0</v>
      </c>
      <c r="V41" s="102">
        <f>V$14*IF(YEAR(V$8)=2023,Inputs!$D$80,Inputs!$E$80)</f>
        <v>0</v>
      </c>
      <c r="W41" s="102">
        <f>W$14*IF(YEAR(W$8)=2023,Inputs!$D$80,Inputs!$E$80)</f>
        <v>0</v>
      </c>
      <c r="X41" s="102">
        <f>X$14*IF(YEAR(X$8)=2023,Inputs!$D$80,Inputs!$E$80)</f>
        <v>0</v>
      </c>
      <c r="Y41" s="102">
        <f>Y$14*IF(YEAR(Y$8)=2023,Inputs!$D$80,Inputs!$E$80)</f>
        <v>0</v>
      </c>
      <c r="Z41" s="102">
        <f>Z$14*IF(YEAR(Z$8)=2023,Inputs!$D$80,Inputs!$E$80)</f>
        <v>0</v>
      </c>
      <c r="AA41" s="102">
        <f>AA$14*IF(YEAR(AA$8)=2023,Inputs!$D$80,Inputs!$E$80)</f>
        <v>0</v>
      </c>
    </row>
    <row r="42" spans="2:27" s="36" customFormat="1" outlineLevel="1">
      <c r="B42" s="48" t="s">
        <v>44</v>
      </c>
      <c r="C42" s="48"/>
      <c r="D42" s="143">
        <f>SUM(D35:D41)</f>
        <v>978.5</v>
      </c>
      <c r="E42" s="143">
        <f t="shared" ref="E42:AA42" si="8">SUM(E35:E41)</f>
        <v>999.1</v>
      </c>
      <c r="F42" s="143">
        <f t="shared" si="8"/>
        <v>1019.7000000000002</v>
      </c>
      <c r="G42" s="143">
        <f t="shared" si="8"/>
        <v>1040.3</v>
      </c>
      <c r="H42" s="143">
        <f t="shared" si="8"/>
        <v>1060.9000000000001</v>
      </c>
      <c r="I42" s="143">
        <f>SUM(I35:I41)</f>
        <v>1081.5</v>
      </c>
      <c r="J42" s="143">
        <f t="shared" si="8"/>
        <v>1102.1000000000001</v>
      </c>
      <c r="K42" s="143">
        <f t="shared" si="8"/>
        <v>1122.7</v>
      </c>
      <c r="L42" s="143">
        <f t="shared" si="8"/>
        <v>1143.3</v>
      </c>
      <c r="M42" s="143">
        <f t="shared" si="8"/>
        <v>1163.9000000000003</v>
      </c>
      <c r="N42" s="143">
        <f t="shared" si="8"/>
        <v>1184.4999999999998</v>
      </c>
      <c r="O42" s="143">
        <f t="shared" si="8"/>
        <v>1163.9000000000003</v>
      </c>
      <c r="P42" s="143">
        <f t="shared" si="8"/>
        <v>1126.6499999999999</v>
      </c>
      <c r="Q42" s="143">
        <f t="shared" si="8"/>
        <v>1106.3499999999999</v>
      </c>
      <c r="R42" s="143">
        <f t="shared" si="8"/>
        <v>1086.05</v>
      </c>
      <c r="S42" s="143">
        <f t="shared" si="8"/>
        <v>1065.75</v>
      </c>
      <c r="T42" s="143">
        <f t="shared" si="8"/>
        <v>1045.4499999999998</v>
      </c>
      <c r="U42" s="143">
        <f t="shared" si="8"/>
        <v>1025.1499999999999</v>
      </c>
      <c r="V42" s="143">
        <f t="shared" si="8"/>
        <v>1004.8499999999999</v>
      </c>
      <c r="W42" s="143">
        <f t="shared" si="8"/>
        <v>984.55000000000007</v>
      </c>
      <c r="X42" s="143">
        <f t="shared" si="8"/>
        <v>964.25</v>
      </c>
      <c r="Y42" s="143">
        <f t="shared" si="8"/>
        <v>943.94999999999982</v>
      </c>
      <c r="Z42" s="143">
        <f t="shared" si="8"/>
        <v>933.8</v>
      </c>
      <c r="AA42" s="143">
        <f t="shared" si="8"/>
        <v>923.64999999999986</v>
      </c>
    </row>
    <row r="43" spans="2:27" s="36" customFormat="1" outlineLevel="1">
      <c r="B43" s="48"/>
      <c r="C43" s="48"/>
    </row>
    <row r="44" spans="2:27" s="36" customFormat="1" outlineLevel="1">
      <c r="B44" s="107" t="s">
        <v>101</v>
      </c>
      <c r="C44" s="107"/>
    </row>
    <row r="45" spans="2:27" s="36" customFormat="1" outlineLevel="1">
      <c r="C45" s="48"/>
    </row>
    <row r="46" spans="2:27" s="36" customFormat="1" outlineLevel="1">
      <c r="B46" s="110" t="s">
        <v>30</v>
      </c>
      <c r="C46" s="48"/>
      <c r="D46" s="102">
        <f>D$15*(IF(YEAR(D$8)=2023,Inputs!$D$91,Inputs!$E$91))</f>
        <v>-158.51700000000002</v>
      </c>
      <c r="E46" s="102">
        <f>E$15*(IF(YEAR(E$8)=2023,Inputs!$D$91,Inputs!$E$91))</f>
        <v>-161.85420000000002</v>
      </c>
      <c r="F46" s="102">
        <f>F$15*(IF(YEAR(F$8)=2023,Inputs!$D$91,Inputs!$E$91))</f>
        <v>-165.19140000000002</v>
      </c>
      <c r="G46" s="102">
        <f>G$15*(IF(YEAR(G$8)=2023,Inputs!$D$91,Inputs!$E$91))</f>
        <v>-168.52860000000001</v>
      </c>
      <c r="H46" s="102">
        <f>H$15*(IF(YEAR(H$8)=2023,Inputs!$D$91,Inputs!$E$91))</f>
        <v>-171.86580000000004</v>
      </c>
      <c r="I46" s="102">
        <f>I$15*(IF(YEAR(I$8)=2023,Inputs!$D$91,Inputs!$E$91))</f>
        <v>-175.203</v>
      </c>
      <c r="J46" s="102">
        <f>J$15*(IF(YEAR(J$8)=2023,Inputs!$D$91,Inputs!$E$91))</f>
        <v>-178.54020000000003</v>
      </c>
      <c r="K46" s="102">
        <f>K$15*(IF(YEAR(K$8)=2023,Inputs!$D$91,Inputs!$E$91))</f>
        <v>-181.87740000000002</v>
      </c>
      <c r="L46" s="102">
        <f>L$15*(IF(YEAR(L$8)=2023,Inputs!$D$91,Inputs!$E$91))</f>
        <v>-185.21459999999999</v>
      </c>
      <c r="M46" s="102">
        <f>M$15*(IF(YEAR(M$8)=2023,Inputs!$D$91,Inputs!$E$91))</f>
        <v>-188.55180000000001</v>
      </c>
      <c r="N46" s="102">
        <f>N$15*(IF(YEAR(N$8)=2023,Inputs!$D$91,Inputs!$E$91))</f>
        <v>-191.88899999999998</v>
      </c>
      <c r="O46" s="102">
        <f>O$15*(IF(YEAR(O$8)=2023,Inputs!$D$91,Inputs!$E$91))</f>
        <v>-188.55180000000001</v>
      </c>
      <c r="P46" s="102">
        <f>P$15*(IF(YEAR(P$8)=2023,Inputs!$D$91,Inputs!$E$91))</f>
        <v>-168.99749999999997</v>
      </c>
      <c r="Q46" s="102">
        <f>Q$15*(IF(YEAR(Q$8)=2023,Inputs!$D$91,Inputs!$E$91))</f>
        <v>-165.95249999999999</v>
      </c>
      <c r="R46" s="102">
        <f>R$15*(IF(YEAR(R$8)=2023,Inputs!$D$91,Inputs!$E$91))</f>
        <v>-162.9075</v>
      </c>
      <c r="S46" s="102">
        <f>S$15*(IF(YEAR(S$8)=2023,Inputs!$D$91,Inputs!$E$91))</f>
        <v>-159.86249999999998</v>
      </c>
      <c r="T46" s="102">
        <f>T$15*(IF(YEAR(T$8)=2023,Inputs!$D$91,Inputs!$E$91))</f>
        <v>-156.81749999999997</v>
      </c>
      <c r="U46" s="102">
        <f>U$15*(IF(YEAR(U$8)=2023,Inputs!$D$91,Inputs!$E$91))</f>
        <v>-153.77249999999998</v>
      </c>
      <c r="V46" s="102">
        <f>V$15*(IF(YEAR(V$8)=2023,Inputs!$D$91,Inputs!$E$91))</f>
        <v>-150.72749999999999</v>
      </c>
      <c r="W46" s="102">
        <f>W$15*(IF(YEAR(W$8)=2023,Inputs!$D$91,Inputs!$E$91))</f>
        <v>-147.68249999999998</v>
      </c>
      <c r="X46" s="102">
        <f>X$15*(IF(YEAR(X$8)=2023,Inputs!$D$91,Inputs!$E$91))</f>
        <v>-144.63749999999999</v>
      </c>
      <c r="Y46" s="102">
        <f>Y$15*(IF(YEAR(Y$8)=2023,Inputs!$D$91,Inputs!$E$91))</f>
        <v>-141.59249999999997</v>
      </c>
      <c r="Z46" s="102">
        <f>Z$15*(IF(YEAR(Z$8)=2023,Inputs!$D$91,Inputs!$E$91))</f>
        <v>-140.07</v>
      </c>
      <c r="AA46" s="102">
        <f>AA$15*(IF(YEAR(AA$8)=2023,Inputs!$D$91,Inputs!$E$91))</f>
        <v>-138.54749999999999</v>
      </c>
    </row>
    <row r="47" spans="2:27" s="36" customFormat="1" outlineLevel="1">
      <c r="B47" s="110" t="s">
        <v>43</v>
      </c>
      <c r="C47" s="48"/>
      <c r="D47" s="102">
        <f>D$15*(IF(YEAR(D$8)=2023,Inputs!$D$96,Inputs!$E$96))</f>
        <v>-117.42000000000002</v>
      </c>
      <c r="E47" s="102">
        <f>E$15*(IF(YEAR(E$8)=2023,Inputs!$D$96,Inputs!$E$96))</f>
        <v>-119.89200000000001</v>
      </c>
      <c r="F47" s="102">
        <f>F$15*(IF(YEAR(F$8)=2023,Inputs!$D$96,Inputs!$E$96))</f>
        <v>-122.36400000000002</v>
      </c>
      <c r="G47" s="102">
        <f>G$15*(IF(YEAR(G$8)=2023,Inputs!$D$96,Inputs!$E$96))</f>
        <v>-124.836</v>
      </c>
      <c r="H47" s="102">
        <f>H$15*(IF(YEAR(H$8)=2023,Inputs!$D$96,Inputs!$E$96))</f>
        <v>-127.30800000000002</v>
      </c>
      <c r="I47" s="102">
        <f>I$15*(IF(YEAR(I$8)=2023,Inputs!$D$96,Inputs!$E$96))</f>
        <v>-129.78</v>
      </c>
      <c r="J47" s="102">
        <f>J$15*(IF(YEAR(J$8)=2023,Inputs!$D$96,Inputs!$E$96))</f>
        <v>-132.25200000000004</v>
      </c>
      <c r="K47" s="102">
        <f>K$15*(IF(YEAR(K$8)=2023,Inputs!$D$96,Inputs!$E$96))</f>
        <v>-134.72400000000002</v>
      </c>
      <c r="L47" s="102">
        <f>L$15*(IF(YEAR(L$8)=2023,Inputs!$D$96,Inputs!$E$96))</f>
        <v>-137.196</v>
      </c>
      <c r="M47" s="102">
        <f>M$15*(IF(YEAR(M$8)=2023,Inputs!$D$96,Inputs!$E$96))</f>
        <v>-139.66800000000001</v>
      </c>
      <c r="N47" s="102">
        <f>N$15*(IF(YEAR(N$8)=2023,Inputs!$D$96,Inputs!$E$96))</f>
        <v>-142.13999999999999</v>
      </c>
      <c r="O47" s="102">
        <f>O$15*(IF(YEAR(O$8)=2023,Inputs!$D$96,Inputs!$E$96))</f>
        <v>-139.66800000000001</v>
      </c>
      <c r="P47" s="102">
        <f>P$15*(IF(YEAR(P$8)=2023,Inputs!$D$96,Inputs!$E$96))</f>
        <v>-121.67819999999998</v>
      </c>
      <c r="Q47" s="102">
        <f>Q$15*(IF(YEAR(Q$8)=2023,Inputs!$D$96,Inputs!$E$96))</f>
        <v>-119.48579999999998</v>
      </c>
      <c r="R47" s="102">
        <f>R$15*(IF(YEAR(R$8)=2023,Inputs!$D$96,Inputs!$E$96))</f>
        <v>-117.29339999999999</v>
      </c>
      <c r="S47" s="102">
        <f>S$15*(IF(YEAR(S$8)=2023,Inputs!$D$96,Inputs!$E$96))</f>
        <v>-115.10099999999998</v>
      </c>
      <c r="T47" s="102">
        <f>T$15*(IF(YEAR(T$8)=2023,Inputs!$D$96,Inputs!$E$96))</f>
        <v>-112.90859999999998</v>
      </c>
      <c r="U47" s="102">
        <f>U$15*(IF(YEAR(U$8)=2023,Inputs!$D$96,Inputs!$E$96))</f>
        <v>-110.71619999999999</v>
      </c>
      <c r="V47" s="102">
        <f>V$15*(IF(YEAR(V$8)=2023,Inputs!$D$96,Inputs!$E$96))</f>
        <v>-108.52379999999999</v>
      </c>
      <c r="W47" s="102">
        <f>W$15*(IF(YEAR(W$8)=2023,Inputs!$D$96,Inputs!$E$96))</f>
        <v>-106.33139999999997</v>
      </c>
      <c r="X47" s="102">
        <f>X$15*(IF(YEAR(X$8)=2023,Inputs!$D$96,Inputs!$E$96))</f>
        <v>-104.13899999999998</v>
      </c>
      <c r="Y47" s="102">
        <f>Y$15*(IF(YEAR(Y$8)=2023,Inputs!$D$96,Inputs!$E$96))</f>
        <v>-101.94659999999998</v>
      </c>
      <c r="Z47" s="102">
        <f>Z$15*(IF(YEAR(Z$8)=2023,Inputs!$D$96,Inputs!$E$96))</f>
        <v>-100.85039999999999</v>
      </c>
      <c r="AA47" s="102">
        <f>AA$15*(IF(YEAR(AA$8)=2023,Inputs!$D$96,Inputs!$E$96))</f>
        <v>-99.754199999999983</v>
      </c>
    </row>
    <row r="48" spans="2:27" s="36" customFormat="1" outlineLevel="1">
      <c r="B48" s="110" t="s">
        <v>31</v>
      </c>
      <c r="C48" s="48"/>
      <c r="D48" s="102">
        <f>D$15*(IF(YEAR(D$8)=2023,Inputs!$D$101,Inputs!$E$101))</f>
        <v>-105.678</v>
      </c>
      <c r="E48" s="102">
        <f>E$15*(IF(YEAR(E$8)=2023,Inputs!$D$101,Inputs!$E$101))</f>
        <v>-107.9028</v>
      </c>
      <c r="F48" s="102">
        <f>F$15*(IF(YEAR(F$8)=2023,Inputs!$D$101,Inputs!$E$101))</f>
        <v>-110.1276</v>
      </c>
      <c r="G48" s="102">
        <f>G$15*(IF(YEAR(G$8)=2023,Inputs!$D$101,Inputs!$E$101))</f>
        <v>-112.35239999999999</v>
      </c>
      <c r="H48" s="102">
        <f>H$15*(IF(YEAR(H$8)=2023,Inputs!$D$101,Inputs!$E$101))</f>
        <v>-114.5772</v>
      </c>
      <c r="I48" s="102">
        <f>I$15*(IF(YEAR(I$8)=2023,Inputs!$D$101,Inputs!$E$101))</f>
        <v>-116.80199999999999</v>
      </c>
      <c r="J48" s="102">
        <f>J$15*(IF(YEAR(J$8)=2023,Inputs!$D$101,Inputs!$E$101))</f>
        <v>-119.02680000000001</v>
      </c>
      <c r="K48" s="102">
        <f>K$15*(IF(YEAR(K$8)=2023,Inputs!$D$101,Inputs!$E$101))</f>
        <v>-121.2516</v>
      </c>
      <c r="L48" s="102">
        <f>L$15*(IF(YEAR(L$8)=2023,Inputs!$D$101,Inputs!$E$101))</f>
        <v>-123.47639999999998</v>
      </c>
      <c r="M48" s="102">
        <f>M$15*(IF(YEAR(M$8)=2023,Inputs!$D$101,Inputs!$E$101))</f>
        <v>-125.7012</v>
      </c>
      <c r="N48" s="102">
        <f>N$15*(IF(YEAR(N$8)=2023,Inputs!$D$101,Inputs!$E$101))</f>
        <v>-127.92599999999999</v>
      </c>
      <c r="O48" s="102">
        <f>O$15*(IF(YEAR(O$8)=2023,Inputs!$D$101,Inputs!$E$101))</f>
        <v>-125.7012</v>
      </c>
      <c r="P48" s="102">
        <f>P$15*(IF(YEAR(P$8)=2023,Inputs!$D$101,Inputs!$E$101))</f>
        <v>-135.19799999999998</v>
      </c>
      <c r="Q48" s="102">
        <f>Q$15*(IF(YEAR(Q$8)=2023,Inputs!$D$101,Inputs!$E$101))</f>
        <v>-132.762</v>
      </c>
      <c r="R48" s="102">
        <f>R$15*(IF(YEAR(R$8)=2023,Inputs!$D$101,Inputs!$E$101))</f>
        <v>-130.32599999999999</v>
      </c>
      <c r="S48" s="102">
        <f>S$15*(IF(YEAR(S$8)=2023,Inputs!$D$101,Inputs!$E$101))</f>
        <v>-127.88999999999999</v>
      </c>
      <c r="T48" s="102">
        <f>T$15*(IF(YEAR(T$8)=2023,Inputs!$D$101,Inputs!$E$101))</f>
        <v>-125.45399999999998</v>
      </c>
      <c r="U48" s="102">
        <f>U$15*(IF(YEAR(U$8)=2023,Inputs!$D$101,Inputs!$E$101))</f>
        <v>-123.01799999999999</v>
      </c>
      <c r="V48" s="102">
        <f>V$15*(IF(YEAR(V$8)=2023,Inputs!$D$101,Inputs!$E$101))</f>
        <v>-120.58199999999999</v>
      </c>
      <c r="W48" s="102">
        <f>W$15*(IF(YEAR(W$8)=2023,Inputs!$D$101,Inputs!$E$101))</f>
        <v>-118.14599999999999</v>
      </c>
      <c r="X48" s="102">
        <f>X$15*(IF(YEAR(X$8)=2023,Inputs!$D$101,Inputs!$E$101))</f>
        <v>-115.71</v>
      </c>
      <c r="Y48" s="102">
        <f>Y$15*(IF(YEAR(Y$8)=2023,Inputs!$D$101,Inputs!$E$101))</f>
        <v>-113.27399999999999</v>
      </c>
      <c r="Z48" s="102">
        <f>Z$15*(IF(YEAR(Z$8)=2023,Inputs!$D$101,Inputs!$E$101))</f>
        <v>-112.056</v>
      </c>
      <c r="AA48" s="102">
        <f>AA$15*(IF(YEAR(AA$8)=2023,Inputs!$D$101,Inputs!$E$101))</f>
        <v>-110.83799999999999</v>
      </c>
    </row>
    <row r="49" spans="2:27" s="36" customFormat="1" outlineLevel="1">
      <c r="B49" s="110" t="s">
        <v>32</v>
      </c>
      <c r="C49" s="48"/>
      <c r="D49" s="102">
        <f>D$15*(IF(YEAR(D$8)=2023,Inputs!$D$106,Inputs!$E$106))</f>
        <v>-82.194000000000017</v>
      </c>
      <c r="E49" s="102">
        <f>E$15*(IF(YEAR(E$8)=2023,Inputs!$D$106,Inputs!$E$106))</f>
        <v>-83.92440000000002</v>
      </c>
      <c r="F49" s="102">
        <f>F$15*(IF(YEAR(F$8)=2023,Inputs!$D$106,Inputs!$E$106))</f>
        <v>-85.654800000000009</v>
      </c>
      <c r="G49" s="102">
        <f>G$15*(IF(YEAR(G$8)=2023,Inputs!$D$106,Inputs!$E$106))</f>
        <v>-87.385199999999998</v>
      </c>
      <c r="H49" s="102">
        <f>H$15*(IF(YEAR(H$8)=2023,Inputs!$D$106,Inputs!$E$106))</f>
        <v>-89.115600000000015</v>
      </c>
      <c r="I49" s="102">
        <f>I$15*(IF(YEAR(I$8)=2023,Inputs!$D$106,Inputs!$E$106))</f>
        <v>-90.846000000000004</v>
      </c>
      <c r="J49" s="102">
        <f>J$15*(IF(YEAR(J$8)=2023,Inputs!$D$106,Inputs!$E$106))</f>
        <v>-92.576400000000021</v>
      </c>
      <c r="K49" s="102">
        <f>K$15*(IF(YEAR(K$8)=2023,Inputs!$D$106,Inputs!$E$106))</f>
        <v>-94.30680000000001</v>
      </c>
      <c r="L49" s="102">
        <f>L$15*(IF(YEAR(L$8)=2023,Inputs!$D$106,Inputs!$E$106))</f>
        <v>-96.037199999999999</v>
      </c>
      <c r="M49" s="102">
        <f>M$15*(IF(YEAR(M$8)=2023,Inputs!$D$106,Inputs!$E$106))</f>
        <v>-97.767600000000016</v>
      </c>
      <c r="N49" s="102">
        <f>N$15*(IF(YEAR(N$8)=2023,Inputs!$D$106,Inputs!$E$106))</f>
        <v>-99.498000000000005</v>
      </c>
      <c r="O49" s="102">
        <f>O$15*(IF(YEAR(O$8)=2023,Inputs!$D$106,Inputs!$E$106))</f>
        <v>-97.767600000000016</v>
      </c>
      <c r="P49" s="102">
        <f>P$15*(IF(YEAR(P$8)=2023,Inputs!$D$106,Inputs!$E$106))</f>
        <v>-94.638599999999997</v>
      </c>
      <c r="Q49" s="102">
        <f>Q$15*(IF(YEAR(Q$8)=2023,Inputs!$D$106,Inputs!$E$106))</f>
        <v>-92.933400000000006</v>
      </c>
      <c r="R49" s="102">
        <f>R$15*(IF(YEAR(R$8)=2023,Inputs!$D$106,Inputs!$E$106))</f>
        <v>-91.228200000000001</v>
      </c>
      <c r="S49" s="102">
        <f>S$15*(IF(YEAR(S$8)=2023,Inputs!$D$106,Inputs!$E$106))</f>
        <v>-89.522999999999996</v>
      </c>
      <c r="T49" s="102">
        <f>T$15*(IF(YEAR(T$8)=2023,Inputs!$D$106,Inputs!$E$106))</f>
        <v>-87.817799999999991</v>
      </c>
      <c r="U49" s="102">
        <f>U$15*(IF(YEAR(U$8)=2023,Inputs!$D$106,Inputs!$E$106))</f>
        <v>-86.1126</v>
      </c>
      <c r="V49" s="102">
        <f>V$15*(IF(YEAR(V$8)=2023,Inputs!$D$106,Inputs!$E$106))</f>
        <v>-84.40740000000001</v>
      </c>
      <c r="W49" s="102">
        <f>W$15*(IF(YEAR(W$8)=2023,Inputs!$D$106,Inputs!$E$106))</f>
        <v>-82.702199999999991</v>
      </c>
      <c r="X49" s="102">
        <f>X$15*(IF(YEAR(X$8)=2023,Inputs!$D$106,Inputs!$E$106))</f>
        <v>-80.997</v>
      </c>
      <c r="Y49" s="102">
        <f>Y$15*(IF(YEAR(Y$8)=2023,Inputs!$D$106,Inputs!$E$106))</f>
        <v>-79.291799999999995</v>
      </c>
      <c r="Z49" s="102">
        <f>Z$15*(IF(YEAR(Z$8)=2023,Inputs!$D$106,Inputs!$E$106))</f>
        <v>-78.4392</v>
      </c>
      <c r="AA49" s="102">
        <f>AA$15*(IF(YEAR(AA$8)=2023,Inputs!$D$106,Inputs!$E$106))</f>
        <v>-77.586600000000004</v>
      </c>
    </row>
    <row r="50" spans="2:27" s="36" customFormat="1" outlineLevel="1">
      <c r="B50" s="110" t="s">
        <v>33</v>
      </c>
      <c r="C50" s="48"/>
      <c r="D50" s="102">
        <f>D$15*(IF(YEAR(D$8)=2023,Inputs!$D$111,Inputs!$E$111))</f>
        <v>-52.838999999999999</v>
      </c>
      <c r="E50" s="102">
        <f>E$15*(IF(YEAR(E$8)=2023,Inputs!$D$111,Inputs!$E$111))</f>
        <v>-53.9514</v>
      </c>
      <c r="F50" s="102">
        <f>F$15*(IF(YEAR(F$8)=2023,Inputs!$D$111,Inputs!$E$111))</f>
        <v>-55.063800000000001</v>
      </c>
      <c r="G50" s="102">
        <f>G$15*(IF(YEAR(G$8)=2023,Inputs!$D$111,Inputs!$E$111))</f>
        <v>-56.176199999999994</v>
      </c>
      <c r="H50" s="102">
        <f>H$15*(IF(YEAR(H$8)=2023,Inputs!$D$111,Inputs!$E$111))</f>
        <v>-57.288600000000002</v>
      </c>
      <c r="I50" s="102">
        <f>I$15*(IF(YEAR(I$8)=2023,Inputs!$D$111,Inputs!$E$111))</f>
        <v>-58.400999999999996</v>
      </c>
      <c r="J50" s="102">
        <f>J$15*(IF(YEAR(J$8)=2023,Inputs!$D$111,Inputs!$E$111))</f>
        <v>-59.513400000000004</v>
      </c>
      <c r="K50" s="102">
        <f>K$15*(IF(YEAR(K$8)=2023,Inputs!$D$111,Inputs!$E$111))</f>
        <v>-60.625799999999998</v>
      </c>
      <c r="L50" s="102">
        <f>L$15*(IF(YEAR(L$8)=2023,Inputs!$D$111,Inputs!$E$111))</f>
        <v>-61.738199999999992</v>
      </c>
      <c r="M50" s="102">
        <f>M$15*(IF(YEAR(M$8)=2023,Inputs!$D$111,Inputs!$E$111))</f>
        <v>-62.8506</v>
      </c>
      <c r="N50" s="102">
        <f>N$15*(IF(YEAR(N$8)=2023,Inputs!$D$111,Inputs!$E$111))</f>
        <v>-63.962999999999994</v>
      </c>
      <c r="O50" s="102">
        <f>O$15*(IF(YEAR(O$8)=2023,Inputs!$D$111,Inputs!$E$111))</f>
        <v>-62.8506</v>
      </c>
      <c r="P50" s="102">
        <f>P$15*(IF(YEAR(P$8)=2023,Inputs!$D$111,Inputs!$E$111))</f>
        <v>-54.079199999999993</v>
      </c>
      <c r="Q50" s="102">
        <f>Q$15*(IF(YEAR(Q$8)=2023,Inputs!$D$111,Inputs!$E$111))</f>
        <v>-53.104799999999997</v>
      </c>
      <c r="R50" s="102">
        <f>R$15*(IF(YEAR(R$8)=2023,Inputs!$D$111,Inputs!$E$111))</f>
        <v>-52.130400000000002</v>
      </c>
      <c r="S50" s="102">
        <f>S$15*(IF(YEAR(S$8)=2023,Inputs!$D$111,Inputs!$E$111))</f>
        <v>-51.155999999999999</v>
      </c>
      <c r="T50" s="102">
        <f>T$15*(IF(YEAR(T$8)=2023,Inputs!$D$111,Inputs!$E$111))</f>
        <v>-50.181599999999989</v>
      </c>
      <c r="U50" s="102">
        <f>U$15*(IF(YEAR(U$8)=2023,Inputs!$D$111,Inputs!$E$111))</f>
        <v>-49.207199999999993</v>
      </c>
      <c r="V50" s="102">
        <f>V$15*(IF(YEAR(V$8)=2023,Inputs!$D$111,Inputs!$E$111))</f>
        <v>-48.232799999999997</v>
      </c>
      <c r="W50" s="102">
        <f>W$15*(IF(YEAR(W$8)=2023,Inputs!$D$111,Inputs!$E$111))</f>
        <v>-47.258399999999995</v>
      </c>
      <c r="X50" s="102">
        <f>X$15*(IF(YEAR(X$8)=2023,Inputs!$D$111,Inputs!$E$111))</f>
        <v>-46.283999999999999</v>
      </c>
      <c r="Y50" s="102">
        <f>Y$15*(IF(YEAR(Y$8)=2023,Inputs!$D$111,Inputs!$E$111))</f>
        <v>-45.309599999999989</v>
      </c>
      <c r="Z50" s="102">
        <f>Z$15*(IF(YEAR(Z$8)=2023,Inputs!$D$111,Inputs!$E$111))</f>
        <v>-44.822400000000002</v>
      </c>
      <c r="AA50" s="102">
        <f>AA$15*(IF(YEAR(AA$8)=2023,Inputs!$D$111,Inputs!$E$111))</f>
        <v>-44.335199999999993</v>
      </c>
    </row>
    <row r="51" spans="2:27" s="36" customFormat="1" outlineLevel="1">
      <c r="B51" s="110" t="s">
        <v>34</v>
      </c>
      <c r="C51" s="48"/>
      <c r="D51" s="102">
        <f>D$15*(IF(YEAR(D$8)=2023,Inputs!$D$116,Inputs!$E$116))</f>
        <v>-52.838999999999999</v>
      </c>
      <c r="E51" s="102">
        <f>E$15*(IF(YEAR(E$8)=2023,Inputs!$D$116,Inputs!$E$116))</f>
        <v>-53.9514</v>
      </c>
      <c r="F51" s="102">
        <f>F$15*(IF(YEAR(F$8)=2023,Inputs!$D$116,Inputs!$E$116))</f>
        <v>-55.063800000000001</v>
      </c>
      <c r="G51" s="102">
        <f>G$15*(IF(YEAR(G$8)=2023,Inputs!$D$116,Inputs!$E$116))</f>
        <v>-56.176199999999994</v>
      </c>
      <c r="H51" s="102">
        <f>H$15*(IF(YEAR(H$8)=2023,Inputs!$D$116,Inputs!$E$116))</f>
        <v>-57.288600000000002</v>
      </c>
      <c r="I51" s="102">
        <f>I$15*(IF(YEAR(I$8)=2023,Inputs!$D$116,Inputs!$E$116))</f>
        <v>-58.400999999999996</v>
      </c>
      <c r="J51" s="102">
        <f>J$15*(IF(YEAR(J$8)=2023,Inputs!$D$116,Inputs!$E$116))</f>
        <v>-59.513400000000004</v>
      </c>
      <c r="K51" s="102">
        <f>K$15*(IF(YEAR(K$8)=2023,Inputs!$D$116,Inputs!$E$116))</f>
        <v>-60.625799999999998</v>
      </c>
      <c r="L51" s="102">
        <f>L$15*(IF(YEAR(L$8)=2023,Inputs!$D$116,Inputs!$E$116))</f>
        <v>-61.738199999999992</v>
      </c>
      <c r="M51" s="102">
        <f>M$15*(IF(YEAR(M$8)=2023,Inputs!$D$116,Inputs!$E$116))</f>
        <v>-62.8506</v>
      </c>
      <c r="N51" s="102">
        <f>N$15*(IF(YEAR(N$8)=2023,Inputs!$D$116,Inputs!$E$116))</f>
        <v>-63.962999999999994</v>
      </c>
      <c r="O51" s="102">
        <f>O$15*(IF(YEAR(O$8)=2023,Inputs!$D$116,Inputs!$E$116))</f>
        <v>-62.8506</v>
      </c>
      <c r="P51" s="102">
        <f>P$15*(IF(YEAR(P$8)=2023,Inputs!$D$116,Inputs!$E$116))</f>
        <v>-81.118799999999979</v>
      </c>
      <c r="Q51" s="102">
        <f>Q$15*(IF(YEAR(Q$8)=2023,Inputs!$D$116,Inputs!$E$116))</f>
        <v>-79.657199999999989</v>
      </c>
      <c r="R51" s="102">
        <f>R$15*(IF(YEAR(R$8)=2023,Inputs!$D$116,Inputs!$E$116))</f>
        <v>-78.195599999999999</v>
      </c>
      <c r="S51" s="102">
        <f>S$15*(IF(YEAR(S$8)=2023,Inputs!$D$116,Inputs!$E$116))</f>
        <v>-76.733999999999995</v>
      </c>
      <c r="T51" s="102">
        <f>T$15*(IF(YEAR(T$8)=2023,Inputs!$D$116,Inputs!$E$116))</f>
        <v>-75.272399999999976</v>
      </c>
      <c r="U51" s="102">
        <f>U$15*(IF(YEAR(U$8)=2023,Inputs!$D$116,Inputs!$E$116))</f>
        <v>-73.810799999999986</v>
      </c>
      <c r="V51" s="102">
        <f>V$15*(IF(YEAR(V$8)=2023,Inputs!$D$116,Inputs!$E$116))</f>
        <v>-72.349199999999996</v>
      </c>
      <c r="W51" s="102">
        <f>W$15*(IF(YEAR(W$8)=2023,Inputs!$D$116,Inputs!$E$116))</f>
        <v>-70.887599999999992</v>
      </c>
      <c r="X51" s="102">
        <f>X$15*(IF(YEAR(X$8)=2023,Inputs!$D$116,Inputs!$E$116))</f>
        <v>-69.425999999999988</v>
      </c>
      <c r="Y51" s="102">
        <f>Y$15*(IF(YEAR(Y$8)=2023,Inputs!$D$116,Inputs!$E$116))</f>
        <v>-67.964399999999983</v>
      </c>
      <c r="Z51" s="102">
        <f>Z$15*(IF(YEAR(Z$8)=2023,Inputs!$D$116,Inputs!$E$116))</f>
        <v>-67.233599999999996</v>
      </c>
      <c r="AA51" s="102">
        <f>AA$15*(IF(YEAR(AA$8)=2023,Inputs!$D$116,Inputs!$E$116))</f>
        <v>-66.502799999999993</v>
      </c>
    </row>
    <row r="52" spans="2:27" s="36" customFormat="1" outlineLevel="1">
      <c r="B52" s="110" t="s">
        <v>35</v>
      </c>
      <c r="C52" s="48"/>
      <c r="D52" s="102">
        <f>D$15*(IF(YEAR(D$8)=2023,Inputs!$D$121,Inputs!$E$121))</f>
        <v>-17.613</v>
      </c>
      <c r="E52" s="102">
        <f>E$15*(IF(YEAR(E$8)=2023,Inputs!$D$121,Inputs!$E$121))</f>
        <v>-17.983799999999999</v>
      </c>
      <c r="F52" s="102">
        <f>F$15*(IF(YEAR(F$8)=2023,Inputs!$D$121,Inputs!$E$121))</f>
        <v>-18.354600000000001</v>
      </c>
      <c r="G52" s="102">
        <f>G$15*(IF(YEAR(G$8)=2023,Inputs!$D$121,Inputs!$E$121))</f>
        <v>-18.725399999999997</v>
      </c>
      <c r="H52" s="102">
        <f>H$15*(IF(YEAR(H$8)=2023,Inputs!$D$121,Inputs!$E$121))</f>
        <v>-19.096200000000003</v>
      </c>
      <c r="I52" s="102">
        <f>I$15*(IF(YEAR(I$8)=2023,Inputs!$D$121,Inputs!$E$121))</f>
        <v>-19.466999999999999</v>
      </c>
      <c r="J52" s="102">
        <f>J$15*(IF(YEAR(J$8)=2023,Inputs!$D$121,Inputs!$E$121))</f>
        <v>-19.837800000000001</v>
      </c>
      <c r="K52" s="102">
        <f>K$15*(IF(YEAR(K$8)=2023,Inputs!$D$121,Inputs!$E$121))</f>
        <v>-20.208600000000001</v>
      </c>
      <c r="L52" s="102">
        <f>L$15*(IF(YEAR(L$8)=2023,Inputs!$D$121,Inputs!$E$121))</f>
        <v>-20.579399999999996</v>
      </c>
      <c r="M52" s="102">
        <f>M$15*(IF(YEAR(M$8)=2023,Inputs!$D$121,Inputs!$E$121))</f>
        <v>-20.950199999999999</v>
      </c>
      <c r="N52" s="102">
        <f>N$15*(IF(YEAR(N$8)=2023,Inputs!$D$121,Inputs!$E$121))</f>
        <v>-21.320999999999998</v>
      </c>
      <c r="O52" s="102">
        <f>O$15*(IF(YEAR(O$8)=2023,Inputs!$D$121,Inputs!$E$121))</f>
        <v>-20.950199999999999</v>
      </c>
      <c r="P52" s="102">
        <f>P$15*(IF(YEAR(P$8)=2023,Inputs!$D$121,Inputs!$E$121))</f>
        <v>-20.279699999999995</v>
      </c>
      <c r="Q52" s="102">
        <f>Q$15*(IF(YEAR(Q$8)=2023,Inputs!$D$121,Inputs!$E$121))</f>
        <v>-19.914299999999997</v>
      </c>
      <c r="R52" s="102">
        <f>R$15*(IF(YEAR(R$8)=2023,Inputs!$D$121,Inputs!$E$121))</f>
        <v>-19.5489</v>
      </c>
      <c r="S52" s="102">
        <f>S$15*(IF(YEAR(S$8)=2023,Inputs!$D$121,Inputs!$E$121))</f>
        <v>-19.183499999999999</v>
      </c>
      <c r="T52" s="102">
        <f>T$15*(IF(YEAR(T$8)=2023,Inputs!$D$121,Inputs!$E$121))</f>
        <v>-18.818099999999994</v>
      </c>
      <c r="U52" s="102">
        <f>U$15*(IF(YEAR(U$8)=2023,Inputs!$D$121,Inputs!$E$121))</f>
        <v>-18.452699999999997</v>
      </c>
      <c r="V52" s="102">
        <f>V$15*(IF(YEAR(V$8)=2023,Inputs!$D$121,Inputs!$E$121))</f>
        <v>-18.087299999999999</v>
      </c>
      <c r="W52" s="102">
        <f>W$15*(IF(YEAR(W$8)=2023,Inputs!$D$121,Inputs!$E$121))</f>
        <v>-17.721899999999998</v>
      </c>
      <c r="X52" s="102">
        <f>X$15*(IF(YEAR(X$8)=2023,Inputs!$D$121,Inputs!$E$121))</f>
        <v>-17.356499999999997</v>
      </c>
      <c r="Y52" s="102">
        <f>Y$15*(IF(YEAR(Y$8)=2023,Inputs!$D$121,Inputs!$E$121))</f>
        <v>-16.991099999999996</v>
      </c>
      <c r="Z52" s="102">
        <f>Z$15*(IF(YEAR(Z$8)=2023,Inputs!$D$121,Inputs!$E$121))</f>
        <v>-16.808399999999999</v>
      </c>
      <c r="AA52" s="102">
        <f>AA$15*(IF(YEAR(AA$8)=2023,Inputs!$D$121,Inputs!$E$121))</f>
        <v>-16.625699999999998</v>
      </c>
    </row>
    <row r="53" spans="2:27" s="48" customFormat="1" outlineLevel="1">
      <c r="B53" s="48" t="s">
        <v>106</v>
      </c>
      <c r="D53" s="143">
        <f>SUM(D46:D52)</f>
        <v>-587.10000000000014</v>
      </c>
      <c r="E53" s="143">
        <f t="shared" ref="E53:AA53" si="9">SUM(E46:E52)</f>
        <v>-599.46000000000015</v>
      </c>
      <c r="F53" s="143">
        <f t="shared" si="9"/>
        <v>-611.82000000000005</v>
      </c>
      <c r="G53" s="143">
        <f t="shared" si="9"/>
        <v>-624.17999999999995</v>
      </c>
      <c r="H53" s="143">
        <f t="shared" si="9"/>
        <v>-636.54</v>
      </c>
      <c r="I53" s="143">
        <f t="shared" si="9"/>
        <v>-648.89999999999986</v>
      </c>
      <c r="J53" s="143">
        <f t="shared" si="9"/>
        <v>-661.26000000000022</v>
      </c>
      <c r="K53" s="143">
        <f t="shared" si="9"/>
        <v>-673.62000000000012</v>
      </c>
      <c r="L53" s="143">
        <f t="shared" si="9"/>
        <v>-685.9799999999999</v>
      </c>
      <c r="M53" s="143">
        <f t="shared" si="9"/>
        <v>-698.34</v>
      </c>
      <c r="N53" s="143">
        <f t="shared" si="9"/>
        <v>-710.69999999999993</v>
      </c>
      <c r="O53" s="143">
        <f t="shared" si="9"/>
        <v>-698.34</v>
      </c>
      <c r="P53" s="143">
        <f t="shared" si="9"/>
        <v>-675.9899999999999</v>
      </c>
      <c r="Q53" s="143">
        <f t="shared" si="9"/>
        <v>-663.81</v>
      </c>
      <c r="R53" s="143">
        <f t="shared" si="9"/>
        <v>-651.63</v>
      </c>
      <c r="S53" s="143">
        <f t="shared" si="9"/>
        <v>-639.44999999999993</v>
      </c>
      <c r="T53" s="143">
        <f t="shared" si="9"/>
        <v>-627.26999999999975</v>
      </c>
      <c r="U53" s="143">
        <f t="shared" si="9"/>
        <v>-615.08999999999992</v>
      </c>
      <c r="V53" s="143">
        <f t="shared" si="9"/>
        <v>-602.91000000000008</v>
      </c>
      <c r="W53" s="143">
        <f t="shared" si="9"/>
        <v>-590.7299999999999</v>
      </c>
      <c r="X53" s="143">
        <f t="shared" si="9"/>
        <v>-578.54999999999995</v>
      </c>
      <c r="Y53" s="143">
        <f t="shared" si="9"/>
        <v>-566.36999999999989</v>
      </c>
      <c r="Z53" s="143">
        <f t="shared" si="9"/>
        <v>-560.28</v>
      </c>
      <c r="AA53" s="143">
        <f t="shared" si="9"/>
        <v>-554.18999999999994</v>
      </c>
    </row>
    <row r="54" spans="2:27" s="36" customFormat="1" outlineLevel="1">
      <c r="B54" s="48"/>
      <c r="C54" s="48"/>
    </row>
    <row r="55" spans="2:27" s="36" customFormat="1" outlineLevel="1">
      <c r="B55" s="107" t="s">
        <v>116</v>
      </c>
      <c r="C55" s="107"/>
    </row>
    <row r="56" spans="2:27" s="36" customFormat="1" outlineLevel="1">
      <c r="C56" s="48"/>
    </row>
    <row r="57" spans="2:27" s="36" customFormat="1" outlineLevel="1">
      <c r="B57" s="110" t="s">
        <v>30</v>
      </c>
      <c r="C57" s="48"/>
      <c r="D57" s="102">
        <f t="shared" ref="D57:AA57" si="10">D35+D46</f>
        <v>86.107999999999976</v>
      </c>
      <c r="E57" s="102">
        <f t="shared" si="10"/>
        <v>87.920799999999986</v>
      </c>
      <c r="F57" s="102">
        <f t="shared" si="10"/>
        <v>89.733599999999996</v>
      </c>
      <c r="G57" s="102">
        <f t="shared" si="10"/>
        <v>91.546399999999977</v>
      </c>
      <c r="H57" s="102">
        <f t="shared" si="10"/>
        <v>93.359199999999987</v>
      </c>
      <c r="I57" s="102">
        <f t="shared" si="10"/>
        <v>95.171999999999997</v>
      </c>
      <c r="J57" s="102">
        <f t="shared" si="10"/>
        <v>96.984800000000007</v>
      </c>
      <c r="K57" s="102">
        <f t="shared" si="10"/>
        <v>98.797599999999989</v>
      </c>
      <c r="L57" s="102">
        <f t="shared" si="10"/>
        <v>100.6104</v>
      </c>
      <c r="M57" s="102">
        <f t="shared" si="10"/>
        <v>102.42320000000001</v>
      </c>
      <c r="N57" s="102">
        <f t="shared" si="10"/>
        <v>104.23600000000002</v>
      </c>
      <c r="O57" s="102">
        <f t="shared" si="10"/>
        <v>102.42320000000001</v>
      </c>
      <c r="P57" s="102">
        <f t="shared" si="10"/>
        <v>78.865499999999997</v>
      </c>
      <c r="Q57" s="102">
        <f t="shared" si="10"/>
        <v>77.444500000000005</v>
      </c>
      <c r="R57" s="102">
        <f t="shared" si="10"/>
        <v>76.023499999999984</v>
      </c>
      <c r="S57" s="102">
        <f t="shared" si="10"/>
        <v>74.60250000000002</v>
      </c>
      <c r="T57" s="102">
        <f t="shared" si="10"/>
        <v>73.1815</v>
      </c>
      <c r="U57" s="102">
        <f t="shared" si="10"/>
        <v>71.760499999999979</v>
      </c>
      <c r="V57" s="102">
        <f t="shared" si="10"/>
        <v>70.339499999999987</v>
      </c>
      <c r="W57" s="102">
        <f t="shared" si="10"/>
        <v>68.918500000000023</v>
      </c>
      <c r="X57" s="102">
        <f t="shared" si="10"/>
        <v>67.497499999999974</v>
      </c>
      <c r="Y57" s="102">
        <f t="shared" si="10"/>
        <v>66.07650000000001</v>
      </c>
      <c r="Z57" s="102">
        <f t="shared" si="10"/>
        <v>65.365999999999985</v>
      </c>
      <c r="AA57" s="102">
        <f t="shared" si="10"/>
        <v>64.655499999999989</v>
      </c>
    </row>
    <row r="58" spans="2:27" s="36" customFormat="1" outlineLevel="1">
      <c r="B58" s="110" t="s">
        <v>43</v>
      </c>
      <c r="C58" s="48"/>
      <c r="D58" s="102">
        <f t="shared" ref="D58:AA58" si="11">D36+D47</f>
        <v>78.28</v>
      </c>
      <c r="E58" s="102">
        <f t="shared" si="11"/>
        <v>79.928000000000011</v>
      </c>
      <c r="F58" s="102">
        <f t="shared" si="11"/>
        <v>81.576000000000008</v>
      </c>
      <c r="G58" s="102">
        <f t="shared" si="11"/>
        <v>83.224000000000004</v>
      </c>
      <c r="H58" s="102">
        <f t="shared" si="11"/>
        <v>84.872000000000014</v>
      </c>
      <c r="I58" s="102">
        <f t="shared" si="11"/>
        <v>86.52000000000001</v>
      </c>
      <c r="J58" s="102">
        <f t="shared" si="11"/>
        <v>88.168000000000006</v>
      </c>
      <c r="K58" s="102">
        <f t="shared" si="11"/>
        <v>89.816000000000003</v>
      </c>
      <c r="L58" s="102">
        <f t="shared" si="11"/>
        <v>91.463999999999999</v>
      </c>
      <c r="M58" s="102">
        <f t="shared" si="11"/>
        <v>93.112000000000023</v>
      </c>
      <c r="N58" s="102">
        <f t="shared" si="11"/>
        <v>94.760000000000019</v>
      </c>
      <c r="O58" s="102">
        <f t="shared" si="11"/>
        <v>93.112000000000023</v>
      </c>
      <c r="P58" s="102">
        <f t="shared" si="11"/>
        <v>69.852300000000014</v>
      </c>
      <c r="Q58" s="102">
        <f t="shared" si="11"/>
        <v>68.593700000000013</v>
      </c>
      <c r="R58" s="102">
        <f t="shared" si="11"/>
        <v>67.335100000000011</v>
      </c>
      <c r="S58" s="102">
        <f t="shared" si="11"/>
        <v>66.076500000000024</v>
      </c>
      <c r="T58" s="102">
        <f t="shared" si="11"/>
        <v>64.817900000000009</v>
      </c>
      <c r="U58" s="102">
        <f t="shared" si="11"/>
        <v>63.559300000000007</v>
      </c>
      <c r="V58" s="102">
        <f t="shared" si="11"/>
        <v>62.300700000000006</v>
      </c>
      <c r="W58" s="102">
        <f t="shared" si="11"/>
        <v>61.042100000000033</v>
      </c>
      <c r="X58" s="102">
        <f t="shared" si="11"/>
        <v>59.783500000000004</v>
      </c>
      <c r="Y58" s="102">
        <f t="shared" si="11"/>
        <v>58.524900000000017</v>
      </c>
      <c r="Z58" s="102">
        <f t="shared" si="11"/>
        <v>57.895600000000016</v>
      </c>
      <c r="AA58" s="102">
        <f t="shared" si="11"/>
        <v>57.266300000000015</v>
      </c>
    </row>
    <row r="59" spans="2:27" s="36" customFormat="1" outlineLevel="1">
      <c r="B59" s="110" t="s">
        <v>31</v>
      </c>
      <c r="C59" s="48"/>
      <c r="D59" s="102">
        <f t="shared" ref="D59:AA59" si="12">D37+D48</f>
        <v>70.451999999999998</v>
      </c>
      <c r="E59" s="102">
        <f t="shared" si="12"/>
        <v>71.935199999999995</v>
      </c>
      <c r="F59" s="102">
        <f t="shared" si="12"/>
        <v>73.418399999999991</v>
      </c>
      <c r="G59" s="102">
        <f t="shared" si="12"/>
        <v>74.901600000000002</v>
      </c>
      <c r="H59" s="102">
        <f t="shared" si="12"/>
        <v>76.384800000000013</v>
      </c>
      <c r="I59" s="102">
        <f t="shared" si="12"/>
        <v>77.867999999999995</v>
      </c>
      <c r="J59" s="102">
        <f t="shared" si="12"/>
        <v>79.351200000000006</v>
      </c>
      <c r="K59" s="102">
        <f t="shared" si="12"/>
        <v>80.834400000000016</v>
      </c>
      <c r="L59" s="102">
        <f t="shared" si="12"/>
        <v>82.317599999999999</v>
      </c>
      <c r="M59" s="102">
        <f t="shared" si="12"/>
        <v>83.80080000000001</v>
      </c>
      <c r="N59" s="102">
        <f t="shared" si="12"/>
        <v>85.283999999999992</v>
      </c>
      <c r="O59" s="102">
        <f t="shared" si="12"/>
        <v>83.80080000000001</v>
      </c>
      <c r="P59" s="102">
        <f t="shared" si="12"/>
        <v>67.59899999999999</v>
      </c>
      <c r="Q59" s="102">
        <f t="shared" si="12"/>
        <v>66.380999999999972</v>
      </c>
      <c r="R59" s="102">
        <f t="shared" si="12"/>
        <v>65.162999999999982</v>
      </c>
      <c r="S59" s="102">
        <f t="shared" si="12"/>
        <v>63.944999999999993</v>
      </c>
      <c r="T59" s="102">
        <f t="shared" si="12"/>
        <v>62.726999999999975</v>
      </c>
      <c r="U59" s="102">
        <f t="shared" si="12"/>
        <v>61.508999999999972</v>
      </c>
      <c r="V59" s="102">
        <f t="shared" si="12"/>
        <v>60.290999999999997</v>
      </c>
      <c r="W59" s="102">
        <f t="shared" si="12"/>
        <v>59.073000000000008</v>
      </c>
      <c r="X59" s="102">
        <f t="shared" si="12"/>
        <v>57.854999999999976</v>
      </c>
      <c r="Y59" s="102">
        <f t="shared" si="12"/>
        <v>56.636999999999986</v>
      </c>
      <c r="Z59" s="102">
        <f t="shared" si="12"/>
        <v>56.027999999999977</v>
      </c>
      <c r="AA59" s="102">
        <f t="shared" si="12"/>
        <v>55.418999999999983</v>
      </c>
    </row>
    <row r="60" spans="2:27" s="36" customFormat="1" outlineLevel="1">
      <c r="B60" s="110" t="s">
        <v>32</v>
      </c>
      <c r="C60" s="48"/>
      <c r="D60" s="102">
        <f t="shared" ref="D60:AA60" si="13">D38+D49</f>
        <v>64.580999999999989</v>
      </c>
      <c r="E60" s="102">
        <f t="shared" si="13"/>
        <v>65.940599999999989</v>
      </c>
      <c r="F60" s="102">
        <f t="shared" si="13"/>
        <v>67.300200000000004</v>
      </c>
      <c r="G60" s="102">
        <f t="shared" si="13"/>
        <v>68.65979999999999</v>
      </c>
      <c r="H60" s="102">
        <f t="shared" si="13"/>
        <v>70.019400000000005</v>
      </c>
      <c r="I60" s="102">
        <f t="shared" si="13"/>
        <v>71.378999999999991</v>
      </c>
      <c r="J60" s="102">
        <f t="shared" si="13"/>
        <v>72.738600000000005</v>
      </c>
      <c r="K60" s="102">
        <f t="shared" si="13"/>
        <v>74.098199999999991</v>
      </c>
      <c r="L60" s="102">
        <f t="shared" si="13"/>
        <v>75.457799999999978</v>
      </c>
      <c r="M60" s="102">
        <f t="shared" si="13"/>
        <v>76.817399999999992</v>
      </c>
      <c r="N60" s="102">
        <f t="shared" si="13"/>
        <v>78.176999999999978</v>
      </c>
      <c r="O60" s="102">
        <f t="shared" si="13"/>
        <v>76.817399999999992</v>
      </c>
      <c r="P60" s="102">
        <f t="shared" si="13"/>
        <v>74.358899999999977</v>
      </c>
      <c r="Q60" s="102">
        <f t="shared" si="13"/>
        <v>73.01909999999998</v>
      </c>
      <c r="R60" s="102">
        <f t="shared" si="13"/>
        <v>71.679299999999998</v>
      </c>
      <c r="S60" s="102">
        <f t="shared" si="13"/>
        <v>70.339499999999987</v>
      </c>
      <c r="T60" s="102">
        <f t="shared" si="13"/>
        <v>68.999699999999976</v>
      </c>
      <c r="U60" s="102">
        <f t="shared" si="13"/>
        <v>67.659899999999979</v>
      </c>
      <c r="V60" s="102">
        <f t="shared" si="13"/>
        <v>66.320099999999982</v>
      </c>
      <c r="W60" s="102">
        <f t="shared" si="13"/>
        <v>64.980299999999986</v>
      </c>
      <c r="X60" s="102">
        <f t="shared" si="13"/>
        <v>63.640499999999989</v>
      </c>
      <c r="Y60" s="102">
        <f t="shared" si="13"/>
        <v>62.300699999999978</v>
      </c>
      <c r="Z60" s="102">
        <f t="shared" si="13"/>
        <v>61.630799999999994</v>
      </c>
      <c r="AA60" s="102">
        <f t="shared" si="13"/>
        <v>60.960899999999981</v>
      </c>
    </row>
    <row r="61" spans="2:27" s="36" customFormat="1" outlineLevel="1">
      <c r="B61" s="110" t="s">
        <v>33</v>
      </c>
      <c r="C61" s="48"/>
      <c r="D61" s="102">
        <f t="shared" ref="D61:AA61" si="14">D39+D50</f>
        <v>64.581000000000003</v>
      </c>
      <c r="E61" s="102">
        <f t="shared" si="14"/>
        <v>65.940599999999989</v>
      </c>
      <c r="F61" s="102">
        <f t="shared" si="14"/>
        <v>67.300200000000004</v>
      </c>
      <c r="G61" s="102">
        <f t="shared" si="14"/>
        <v>68.65979999999999</v>
      </c>
      <c r="H61" s="102">
        <f t="shared" si="14"/>
        <v>70.019400000000005</v>
      </c>
      <c r="I61" s="102">
        <f t="shared" si="14"/>
        <v>71.379000000000005</v>
      </c>
      <c r="J61" s="102">
        <f t="shared" si="14"/>
        <v>72.738600000000005</v>
      </c>
      <c r="K61" s="102">
        <f t="shared" si="14"/>
        <v>74.098199999999991</v>
      </c>
      <c r="L61" s="102">
        <f t="shared" si="14"/>
        <v>75.457800000000006</v>
      </c>
      <c r="M61" s="102">
        <f t="shared" si="14"/>
        <v>76.817400000000006</v>
      </c>
      <c r="N61" s="102">
        <f t="shared" si="14"/>
        <v>78.176999999999992</v>
      </c>
      <c r="O61" s="102">
        <f t="shared" si="14"/>
        <v>76.817400000000006</v>
      </c>
      <c r="P61" s="102">
        <f t="shared" si="14"/>
        <v>92.385300000000001</v>
      </c>
      <c r="Q61" s="102">
        <f t="shared" si="14"/>
        <v>90.720700000000008</v>
      </c>
      <c r="R61" s="102">
        <f t="shared" si="14"/>
        <v>89.056099999999986</v>
      </c>
      <c r="S61" s="102">
        <f t="shared" si="14"/>
        <v>87.391500000000008</v>
      </c>
      <c r="T61" s="102">
        <f t="shared" si="14"/>
        <v>85.726899999999986</v>
      </c>
      <c r="U61" s="102">
        <f t="shared" si="14"/>
        <v>84.062299999999993</v>
      </c>
      <c r="V61" s="102">
        <f t="shared" si="14"/>
        <v>82.397699999999986</v>
      </c>
      <c r="W61" s="102">
        <f t="shared" si="14"/>
        <v>80.733100000000007</v>
      </c>
      <c r="X61" s="102">
        <f t="shared" si="14"/>
        <v>79.0685</v>
      </c>
      <c r="Y61" s="102">
        <f t="shared" si="14"/>
        <v>77.403900000000007</v>
      </c>
      <c r="Z61" s="102">
        <f t="shared" si="14"/>
        <v>76.571599999999989</v>
      </c>
      <c r="AA61" s="102">
        <f t="shared" si="14"/>
        <v>75.739299999999986</v>
      </c>
    </row>
    <row r="62" spans="2:27" s="36" customFormat="1" outlineLevel="1">
      <c r="B62" s="110" t="s">
        <v>34</v>
      </c>
      <c r="C62" s="48"/>
      <c r="D62" s="102">
        <f t="shared" ref="D62:AA62" si="15">D40+D51</f>
        <v>45.01100000000001</v>
      </c>
      <c r="E62" s="102">
        <f t="shared" si="15"/>
        <v>45.958600000000011</v>
      </c>
      <c r="F62" s="102">
        <f t="shared" si="15"/>
        <v>46.906200000000013</v>
      </c>
      <c r="G62" s="102">
        <f t="shared" si="15"/>
        <v>47.853800000000007</v>
      </c>
      <c r="H62" s="102">
        <f t="shared" si="15"/>
        <v>48.801400000000015</v>
      </c>
      <c r="I62" s="102">
        <f t="shared" si="15"/>
        <v>49.749000000000009</v>
      </c>
      <c r="J62" s="102">
        <f t="shared" si="15"/>
        <v>50.696600000000018</v>
      </c>
      <c r="K62" s="102">
        <f t="shared" si="15"/>
        <v>51.644200000000012</v>
      </c>
      <c r="L62" s="102">
        <f t="shared" si="15"/>
        <v>52.591800000000006</v>
      </c>
      <c r="M62" s="102">
        <f t="shared" si="15"/>
        <v>53.539400000000015</v>
      </c>
      <c r="N62" s="102">
        <f t="shared" si="15"/>
        <v>54.487000000000009</v>
      </c>
      <c r="O62" s="102">
        <f t="shared" si="15"/>
        <v>53.539400000000015</v>
      </c>
      <c r="P62" s="102">
        <f t="shared" si="15"/>
        <v>87.878699999999995</v>
      </c>
      <c r="Q62" s="102">
        <f t="shared" si="15"/>
        <v>86.295299999999997</v>
      </c>
      <c r="R62" s="102">
        <f t="shared" si="15"/>
        <v>84.7119</v>
      </c>
      <c r="S62" s="102">
        <f t="shared" si="15"/>
        <v>83.128499999999988</v>
      </c>
      <c r="T62" s="102">
        <f t="shared" si="15"/>
        <v>81.545099999999991</v>
      </c>
      <c r="U62" s="102">
        <f t="shared" si="15"/>
        <v>79.961699999999993</v>
      </c>
      <c r="V62" s="102">
        <f t="shared" si="15"/>
        <v>78.378299999999996</v>
      </c>
      <c r="W62" s="102">
        <f t="shared" si="15"/>
        <v>76.794899999999984</v>
      </c>
      <c r="X62" s="102">
        <f t="shared" si="15"/>
        <v>75.211500000000001</v>
      </c>
      <c r="Y62" s="102">
        <f t="shared" si="15"/>
        <v>73.628099999999989</v>
      </c>
      <c r="Z62" s="102">
        <f t="shared" si="15"/>
        <v>72.836399999999998</v>
      </c>
      <c r="AA62" s="102">
        <f t="shared" si="15"/>
        <v>72.044699999999992</v>
      </c>
    </row>
    <row r="63" spans="2:27" s="36" customFormat="1" outlineLevel="1">
      <c r="B63" s="110" t="s">
        <v>35</v>
      </c>
      <c r="C63" s="48"/>
      <c r="D63" s="102">
        <f t="shared" ref="D63:AA63" si="16">D41+D52</f>
        <v>-17.613</v>
      </c>
      <c r="E63" s="102">
        <f t="shared" si="16"/>
        <v>-17.983799999999999</v>
      </c>
      <c r="F63" s="102">
        <f t="shared" si="16"/>
        <v>-18.354600000000001</v>
      </c>
      <c r="G63" s="102">
        <f t="shared" si="16"/>
        <v>-18.725399999999997</v>
      </c>
      <c r="H63" s="102">
        <f t="shared" si="16"/>
        <v>-19.096200000000003</v>
      </c>
      <c r="I63" s="102">
        <f t="shared" si="16"/>
        <v>-19.466999999999999</v>
      </c>
      <c r="J63" s="102">
        <f t="shared" si="16"/>
        <v>-19.837800000000001</v>
      </c>
      <c r="K63" s="102">
        <f t="shared" si="16"/>
        <v>-20.208600000000001</v>
      </c>
      <c r="L63" s="102">
        <f t="shared" si="16"/>
        <v>-20.579399999999996</v>
      </c>
      <c r="M63" s="102">
        <f t="shared" si="16"/>
        <v>-20.950199999999999</v>
      </c>
      <c r="N63" s="102">
        <f t="shared" si="16"/>
        <v>-21.320999999999998</v>
      </c>
      <c r="O63" s="102">
        <f t="shared" si="16"/>
        <v>-20.950199999999999</v>
      </c>
      <c r="P63" s="102">
        <f t="shared" si="16"/>
        <v>-20.279699999999995</v>
      </c>
      <c r="Q63" s="102">
        <f t="shared" si="16"/>
        <v>-19.914299999999997</v>
      </c>
      <c r="R63" s="102">
        <f t="shared" si="16"/>
        <v>-19.5489</v>
      </c>
      <c r="S63" s="102">
        <f t="shared" si="16"/>
        <v>-19.183499999999999</v>
      </c>
      <c r="T63" s="102">
        <f t="shared" si="16"/>
        <v>-18.818099999999994</v>
      </c>
      <c r="U63" s="102">
        <f t="shared" si="16"/>
        <v>-18.452699999999997</v>
      </c>
      <c r="V63" s="102">
        <f t="shared" si="16"/>
        <v>-18.087299999999999</v>
      </c>
      <c r="W63" s="102">
        <f t="shared" si="16"/>
        <v>-17.721899999999998</v>
      </c>
      <c r="X63" s="102">
        <f t="shared" si="16"/>
        <v>-17.356499999999997</v>
      </c>
      <c r="Y63" s="102">
        <f t="shared" si="16"/>
        <v>-16.991099999999996</v>
      </c>
      <c r="Z63" s="102">
        <f t="shared" si="16"/>
        <v>-16.808399999999999</v>
      </c>
      <c r="AA63" s="102">
        <f t="shared" si="16"/>
        <v>-16.625699999999998</v>
      </c>
    </row>
    <row r="64" spans="2:27" s="48" customFormat="1" outlineLevel="1">
      <c r="B64" s="48" t="s">
        <v>117</v>
      </c>
      <c r="D64" s="143">
        <f>SUM(D57:D63)</f>
        <v>391.4</v>
      </c>
      <c r="E64" s="143">
        <f t="shared" ref="E64:AA64" si="17">SUM(E57:E63)</f>
        <v>399.64000000000004</v>
      </c>
      <c r="F64" s="143">
        <f t="shared" si="17"/>
        <v>407.88</v>
      </c>
      <c r="G64" s="143">
        <f t="shared" si="17"/>
        <v>416.11999999999995</v>
      </c>
      <c r="H64" s="143">
        <f t="shared" si="17"/>
        <v>424.36</v>
      </c>
      <c r="I64" s="143">
        <f t="shared" si="17"/>
        <v>432.6</v>
      </c>
      <c r="J64" s="143">
        <f t="shared" si="17"/>
        <v>440.84000000000003</v>
      </c>
      <c r="K64" s="143">
        <f t="shared" si="17"/>
        <v>449.08000000000004</v>
      </c>
      <c r="L64" s="143">
        <f t="shared" si="17"/>
        <v>457.32</v>
      </c>
      <c r="M64" s="143">
        <f t="shared" si="17"/>
        <v>465.56000000000006</v>
      </c>
      <c r="N64" s="143">
        <f t="shared" si="17"/>
        <v>473.80000000000007</v>
      </c>
      <c r="O64" s="143">
        <f t="shared" si="17"/>
        <v>465.56000000000006</v>
      </c>
      <c r="P64" s="143">
        <f t="shared" si="17"/>
        <v>450.66</v>
      </c>
      <c r="Q64" s="143">
        <f t="shared" si="17"/>
        <v>442.53999999999996</v>
      </c>
      <c r="R64" s="143">
        <f t="shared" si="17"/>
        <v>434.41999999999996</v>
      </c>
      <c r="S64" s="143">
        <f t="shared" si="17"/>
        <v>426.3</v>
      </c>
      <c r="T64" s="143">
        <f t="shared" si="17"/>
        <v>418.17999999999995</v>
      </c>
      <c r="U64" s="143">
        <f t="shared" si="17"/>
        <v>410.05999999999995</v>
      </c>
      <c r="V64" s="143">
        <f t="shared" si="17"/>
        <v>401.93999999999994</v>
      </c>
      <c r="W64" s="143">
        <f t="shared" si="17"/>
        <v>393.82000000000005</v>
      </c>
      <c r="X64" s="143">
        <f t="shared" si="17"/>
        <v>385.69999999999993</v>
      </c>
      <c r="Y64" s="143">
        <f t="shared" si="17"/>
        <v>377.58</v>
      </c>
      <c r="Z64" s="143">
        <f t="shared" si="17"/>
        <v>373.52</v>
      </c>
      <c r="AA64" s="143">
        <f t="shared" si="17"/>
        <v>369.45999999999992</v>
      </c>
    </row>
    <row r="65" spans="2:27" s="36" customFormat="1" outlineLevel="1">
      <c r="B65" s="48"/>
      <c r="C65" s="48"/>
    </row>
    <row r="66" spans="2:27" s="36" customFormat="1" outlineLevel="1">
      <c r="B66" s="107" t="s">
        <v>113</v>
      </c>
      <c r="C66" s="107"/>
      <c r="D66" s="41"/>
      <c r="E66" s="41"/>
    </row>
    <row r="67" spans="2:27" s="36" customFormat="1" outlineLevel="1">
      <c r="B67" s="48"/>
      <c r="C67" s="48"/>
    </row>
    <row r="68" spans="2:27" s="36" customFormat="1" outlineLevel="1">
      <c r="B68" s="110" t="s">
        <v>30</v>
      </c>
      <c r="D68" s="102">
        <f>D$20*(IF(YEAR(D$8)=2023,Inputs!$D$132,Inputs!$E$132))</f>
        <v>-301.35000000000002</v>
      </c>
      <c r="E68" s="102">
        <f>E$20*(IF(YEAR(E$8)=2023,Inputs!$D$132,Inputs!$E$132))</f>
        <v>-307.09000000000003</v>
      </c>
      <c r="F68" s="102">
        <f>F$20*(IF(YEAR(F$8)=2023,Inputs!$D$132,Inputs!$E$132))</f>
        <v>-312.83000000000004</v>
      </c>
      <c r="G68" s="102">
        <f>G$20*(IF(YEAR(G$8)=2023,Inputs!$D$132,Inputs!$E$132))</f>
        <v>-318.57000000000005</v>
      </c>
      <c r="H68" s="102">
        <f>H$20*(IF(YEAR(H$8)=2023,Inputs!$D$132,Inputs!$E$132))</f>
        <v>-324.31000000000006</v>
      </c>
      <c r="I68" s="102">
        <f>I$20*(IF(YEAR(I$8)=2023,Inputs!$D$132,Inputs!$E$132))</f>
        <v>-330.05</v>
      </c>
      <c r="J68" s="102">
        <f>J$20*(IF(YEAR(J$8)=2023,Inputs!$D$132,Inputs!$E$132))</f>
        <v>-335.79</v>
      </c>
      <c r="K68" s="102">
        <f>K$20*(IF(YEAR(K$8)=2023,Inputs!$D$132,Inputs!$E$132))</f>
        <v>-341.53000000000003</v>
      </c>
      <c r="L68" s="102">
        <f>L$20*(IF(YEAR(L$8)=2023,Inputs!$D$132,Inputs!$E$132))</f>
        <v>-347.27000000000004</v>
      </c>
      <c r="M68" s="102">
        <f>M$20*(IF(YEAR(M$8)=2023,Inputs!$D$132,Inputs!$E$132))</f>
        <v>-353.01000000000005</v>
      </c>
      <c r="N68" s="102">
        <f>N$20*(IF(YEAR(N$8)=2023,Inputs!$D$132,Inputs!$E$132))</f>
        <v>-358.75000000000006</v>
      </c>
      <c r="O68" s="102">
        <f>O$20*(IF(YEAR(O$8)=2023,Inputs!$D$132,Inputs!$E$132))</f>
        <v>-364.49</v>
      </c>
      <c r="P68" s="102">
        <f>P$20*(IF(YEAR(P$8)=2023,Inputs!$D$132,Inputs!$E$132))</f>
        <v>-348.81600000000003</v>
      </c>
      <c r="Q68" s="102">
        <f>Q$20*(IF(YEAR(Q$8)=2023,Inputs!$D$132,Inputs!$E$132))</f>
        <v>-354.22400000000005</v>
      </c>
      <c r="R68" s="102">
        <f>R$20*(IF(YEAR(R$8)=2023,Inputs!$D$132,Inputs!$E$132))</f>
        <v>-359.63200000000001</v>
      </c>
      <c r="S68" s="102">
        <f>S$20*(IF(YEAR(S$8)=2023,Inputs!$D$132,Inputs!$E$132))</f>
        <v>-365.04</v>
      </c>
      <c r="T68" s="102">
        <f>T$20*(IF(YEAR(T$8)=2023,Inputs!$D$132,Inputs!$E$132))</f>
        <v>-370.44799999999998</v>
      </c>
      <c r="U68" s="102">
        <f>U$20*(IF(YEAR(U$8)=2023,Inputs!$D$132,Inputs!$E$132))</f>
        <v>-375.85600000000005</v>
      </c>
      <c r="V68" s="102">
        <f>V$20*(IF(YEAR(V$8)=2023,Inputs!$D$132,Inputs!$E$132))</f>
        <v>-381.26400000000001</v>
      </c>
      <c r="W68" s="102">
        <f>W$20*(IF(YEAR(W$8)=2023,Inputs!$D$132,Inputs!$E$132))</f>
        <v>-386.67200000000003</v>
      </c>
      <c r="X68" s="102">
        <f>X$20*(IF(YEAR(X$8)=2023,Inputs!$D$132,Inputs!$E$132))</f>
        <v>-392.08000000000004</v>
      </c>
      <c r="Y68" s="102">
        <f>Y$20*(IF(YEAR(Y$8)=2023,Inputs!$D$132,Inputs!$E$132))</f>
        <v>-397.488</v>
      </c>
      <c r="Z68" s="102">
        <f>Z$20*(IF(YEAR(Z$8)=2023,Inputs!$D$132,Inputs!$E$132))</f>
        <v>-402.89600000000007</v>
      </c>
      <c r="AA68" s="102">
        <f>AA$20*(IF(YEAR(AA$8)=2023,Inputs!$D$132,Inputs!$E$132))</f>
        <v>-408.30400000000003</v>
      </c>
    </row>
    <row r="69" spans="2:27" s="36" customFormat="1" outlineLevel="1">
      <c r="B69" s="110" t="s">
        <v>43</v>
      </c>
      <c r="D69" s="102">
        <f>D$20*(IF(YEAR(D$8)=2023,Inputs!$D$137,Inputs!$E$137))</f>
        <v>-215.25</v>
      </c>
      <c r="E69" s="102">
        <f>E$20*(IF(YEAR(E$8)=2023,Inputs!$D$137,Inputs!$E$137))</f>
        <v>-219.35000000000002</v>
      </c>
      <c r="F69" s="102">
        <f>F$20*(IF(YEAR(F$8)=2023,Inputs!$D$137,Inputs!$E$137))</f>
        <v>-223.45000000000002</v>
      </c>
      <c r="G69" s="102">
        <f>G$20*(IF(YEAR(G$8)=2023,Inputs!$D$137,Inputs!$E$137))</f>
        <v>-227.55</v>
      </c>
      <c r="H69" s="102">
        <f>H$20*(IF(YEAR(H$8)=2023,Inputs!$D$137,Inputs!$E$137))</f>
        <v>-231.65</v>
      </c>
      <c r="I69" s="102">
        <f>I$20*(IF(YEAR(I$8)=2023,Inputs!$D$137,Inputs!$E$137))</f>
        <v>-235.75</v>
      </c>
      <c r="J69" s="102">
        <f>J$20*(IF(YEAR(J$8)=2023,Inputs!$D$137,Inputs!$E$137))</f>
        <v>-239.85000000000002</v>
      </c>
      <c r="K69" s="102">
        <f>K$20*(IF(YEAR(K$8)=2023,Inputs!$D$137,Inputs!$E$137))</f>
        <v>-243.95000000000002</v>
      </c>
      <c r="L69" s="102">
        <f>L$20*(IF(YEAR(L$8)=2023,Inputs!$D$137,Inputs!$E$137))</f>
        <v>-248.05</v>
      </c>
      <c r="M69" s="102">
        <f>M$20*(IF(YEAR(M$8)=2023,Inputs!$D$137,Inputs!$E$137))</f>
        <v>-252.15</v>
      </c>
      <c r="N69" s="102">
        <f>N$20*(IF(YEAR(N$8)=2023,Inputs!$D$137,Inputs!$E$137))</f>
        <v>-256.25</v>
      </c>
      <c r="O69" s="102">
        <f>O$20*(IF(YEAR(O$8)=2023,Inputs!$D$137,Inputs!$E$137))</f>
        <v>-260.35000000000002</v>
      </c>
      <c r="P69" s="102">
        <f>P$20*(IF(YEAR(P$8)=2023,Inputs!$D$137,Inputs!$E$137))</f>
        <v>-254.90400000000002</v>
      </c>
      <c r="Q69" s="102">
        <f>Q$20*(IF(YEAR(Q$8)=2023,Inputs!$D$137,Inputs!$E$137))</f>
        <v>-258.85599999999999</v>
      </c>
      <c r="R69" s="102">
        <f>R$20*(IF(YEAR(R$8)=2023,Inputs!$D$137,Inputs!$E$137))</f>
        <v>-262.80799999999999</v>
      </c>
      <c r="S69" s="102">
        <f>S$20*(IF(YEAR(S$8)=2023,Inputs!$D$137,Inputs!$E$137))</f>
        <v>-266.76</v>
      </c>
      <c r="T69" s="102">
        <f>T$20*(IF(YEAR(T$8)=2023,Inputs!$D$137,Inputs!$E$137))</f>
        <v>-270.71199999999999</v>
      </c>
      <c r="U69" s="102">
        <f>U$20*(IF(YEAR(U$8)=2023,Inputs!$D$137,Inputs!$E$137))</f>
        <v>-274.66400000000004</v>
      </c>
      <c r="V69" s="102">
        <f>V$20*(IF(YEAR(V$8)=2023,Inputs!$D$137,Inputs!$E$137))</f>
        <v>-278.61600000000004</v>
      </c>
      <c r="W69" s="102">
        <f>W$20*(IF(YEAR(W$8)=2023,Inputs!$D$137,Inputs!$E$137))</f>
        <v>-282.56799999999998</v>
      </c>
      <c r="X69" s="102">
        <f>X$20*(IF(YEAR(X$8)=2023,Inputs!$D$137,Inputs!$E$137))</f>
        <v>-286.52</v>
      </c>
      <c r="Y69" s="102">
        <f>Y$20*(IF(YEAR(Y$8)=2023,Inputs!$D$137,Inputs!$E$137))</f>
        <v>-290.47199999999998</v>
      </c>
      <c r="Z69" s="102">
        <f>Z$20*(IF(YEAR(Z$8)=2023,Inputs!$D$137,Inputs!$E$137))</f>
        <v>-294.42400000000004</v>
      </c>
      <c r="AA69" s="102">
        <f>AA$20*(IF(YEAR(AA$8)=2023,Inputs!$D$137,Inputs!$E$137))</f>
        <v>-298.37600000000003</v>
      </c>
    </row>
    <row r="70" spans="2:27" s="36" customFormat="1" outlineLevel="1">
      <c r="B70" s="110" t="s">
        <v>31</v>
      </c>
      <c r="D70" s="102">
        <f>D$20*(IF(YEAR(D$8)=2023,Inputs!$D$142,Inputs!$E$142))</f>
        <v>-182.96250000000001</v>
      </c>
      <c r="E70" s="102">
        <f>E$20*(IF(YEAR(E$8)=2023,Inputs!$D$142,Inputs!$E$142))</f>
        <v>-186.44750000000002</v>
      </c>
      <c r="F70" s="102">
        <f>F$20*(IF(YEAR(F$8)=2023,Inputs!$D$142,Inputs!$E$142))</f>
        <v>-189.9325</v>
      </c>
      <c r="G70" s="102">
        <f>G$20*(IF(YEAR(G$8)=2023,Inputs!$D$142,Inputs!$E$142))</f>
        <v>-193.41750000000002</v>
      </c>
      <c r="H70" s="102">
        <f>H$20*(IF(YEAR(H$8)=2023,Inputs!$D$142,Inputs!$E$142))</f>
        <v>-196.9025</v>
      </c>
      <c r="I70" s="102">
        <f>I$20*(IF(YEAR(I$8)=2023,Inputs!$D$142,Inputs!$E$142))</f>
        <v>-200.38750000000002</v>
      </c>
      <c r="J70" s="102">
        <f>J$20*(IF(YEAR(J$8)=2023,Inputs!$D$142,Inputs!$E$142))</f>
        <v>-203.8725</v>
      </c>
      <c r="K70" s="102">
        <f>K$20*(IF(YEAR(K$8)=2023,Inputs!$D$142,Inputs!$E$142))</f>
        <v>-207.35750000000002</v>
      </c>
      <c r="L70" s="102">
        <f>L$20*(IF(YEAR(L$8)=2023,Inputs!$D$142,Inputs!$E$142))</f>
        <v>-210.8425</v>
      </c>
      <c r="M70" s="102">
        <f>M$20*(IF(YEAR(M$8)=2023,Inputs!$D$142,Inputs!$E$142))</f>
        <v>-214.32750000000001</v>
      </c>
      <c r="N70" s="102">
        <f>N$20*(IF(YEAR(N$8)=2023,Inputs!$D$142,Inputs!$E$142))</f>
        <v>-217.81250000000003</v>
      </c>
      <c r="O70" s="102">
        <f>O$20*(IF(YEAR(O$8)=2023,Inputs!$D$142,Inputs!$E$142))</f>
        <v>-221.29750000000001</v>
      </c>
      <c r="P70" s="102">
        <f>P$20*(IF(YEAR(P$8)=2023,Inputs!$D$142,Inputs!$E$142))</f>
        <v>-228.07200000000003</v>
      </c>
      <c r="Q70" s="102">
        <f>Q$20*(IF(YEAR(Q$8)=2023,Inputs!$D$142,Inputs!$E$142))</f>
        <v>-231.60800000000003</v>
      </c>
      <c r="R70" s="102">
        <f>R$20*(IF(YEAR(R$8)=2023,Inputs!$D$142,Inputs!$E$142))</f>
        <v>-235.14400000000003</v>
      </c>
      <c r="S70" s="102">
        <f>S$20*(IF(YEAR(S$8)=2023,Inputs!$D$142,Inputs!$E$142))</f>
        <v>-238.68</v>
      </c>
      <c r="T70" s="102">
        <f>T$20*(IF(YEAR(T$8)=2023,Inputs!$D$142,Inputs!$E$142))</f>
        <v>-242.21600000000001</v>
      </c>
      <c r="U70" s="102">
        <f>U$20*(IF(YEAR(U$8)=2023,Inputs!$D$142,Inputs!$E$142))</f>
        <v>-245.75200000000004</v>
      </c>
      <c r="V70" s="102">
        <f>V$20*(IF(YEAR(V$8)=2023,Inputs!$D$142,Inputs!$E$142))</f>
        <v>-249.28800000000004</v>
      </c>
      <c r="W70" s="102">
        <f>W$20*(IF(YEAR(W$8)=2023,Inputs!$D$142,Inputs!$E$142))</f>
        <v>-252.82400000000001</v>
      </c>
      <c r="X70" s="102">
        <f>X$20*(IF(YEAR(X$8)=2023,Inputs!$D$142,Inputs!$E$142))</f>
        <v>-256.36</v>
      </c>
      <c r="Y70" s="102">
        <f>Y$20*(IF(YEAR(Y$8)=2023,Inputs!$D$142,Inputs!$E$142))</f>
        <v>-259.89600000000002</v>
      </c>
      <c r="Z70" s="102">
        <f>Z$20*(IF(YEAR(Z$8)=2023,Inputs!$D$142,Inputs!$E$142))</f>
        <v>-263.43200000000002</v>
      </c>
      <c r="AA70" s="102">
        <f>AA$20*(IF(YEAR(AA$8)=2023,Inputs!$D$142,Inputs!$E$142))</f>
        <v>-266.96800000000002</v>
      </c>
    </row>
    <row r="71" spans="2:27" s="36" customFormat="1" outlineLevel="1">
      <c r="B71" s="110" t="s">
        <v>32</v>
      </c>
      <c r="D71" s="102">
        <f>D$20*(IF(YEAR(D$8)=2023,Inputs!$D$147,Inputs!$E$147))</f>
        <v>-150.67500000000001</v>
      </c>
      <c r="E71" s="102">
        <f>E$20*(IF(YEAR(E$8)=2023,Inputs!$D$147,Inputs!$E$147))</f>
        <v>-153.54500000000002</v>
      </c>
      <c r="F71" s="102">
        <f>F$20*(IF(YEAR(F$8)=2023,Inputs!$D$147,Inputs!$E$147))</f>
        <v>-156.41500000000002</v>
      </c>
      <c r="G71" s="102">
        <f>G$20*(IF(YEAR(G$8)=2023,Inputs!$D$147,Inputs!$E$147))</f>
        <v>-159.28500000000003</v>
      </c>
      <c r="H71" s="102">
        <f>H$20*(IF(YEAR(H$8)=2023,Inputs!$D$147,Inputs!$E$147))</f>
        <v>-162.15500000000003</v>
      </c>
      <c r="I71" s="102">
        <f>I$20*(IF(YEAR(I$8)=2023,Inputs!$D$147,Inputs!$E$147))</f>
        <v>-165.02500000000001</v>
      </c>
      <c r="J71" s="102">
        <f>J$20*(IF(YEAR(J$8)=2023,Inputs!$D$147,Inputs!$E$147))</f>
        <v>-167.89500000000001</v>
      </c>
      <c r="K71" s="102">
        <f>K$20*(IF(YEAR(K$8)=2023,Inputs!$D$147,Inputs!$E$147))</f>
        <v>-170.76500000000001</v>
      </c>
      <c r="L71" s="102">
        <f>L$20*(IF(YEAR(L$8)=2023,Inputs!$D$147,Inputs!$E$147))</f>
        <v>-173.63500000000002</v>
      </c>
      <c r="M71" s="102">
        <f>M$20*(IF(YEAR(M$8)=2023,Inputs!$D$147,Inputs!$E$147))</f>
        <v>-176.50500000000002</v>
      </c>
      <c r="N71" s="102">
        <f>N$20*(IF(YEAR(N$8)=2023,Inputs!$D$147,Inputs!$E$147))</f>
        <v>-179.37500000000003</v>
      </c>
      <c r="O71" s="102">
        <f>O$20*(IF(YEAR(O$8)=2023,Inputs!$D$147,Inputs!$E$147))</f>
        <v>-182.245</v>
      </c>
      <c r="P71" s="102">
        <f>P$20*(IF(YEAR(P$8)=2023,Inputs!$D$147,Inputs!$E$147))</f>
        <v>-187.82400000000004</v>
      </c>
      <c r="Q71" s="102">
        <f>Q$20*(IF(YEAR(Q$8)=2023,Inputs!$D$147,Inputs!$E$147))</f>
        <v>-190.73600000000002</v>
      </c>
      <c r="R71" s="102">
        <f>R$20*(IF(YEAR(R$8)=2023,Inputs!$D$147,Inputs!$E$147))</f>
        <v>-193.64800000000002</v>
      </c>
      <c r="S71" s="102">
        <f>S$20*(IF(YEAR(S$8)=2023,Inputs!$D$147,Inputs!$E$147))</f>
        <v>-196.56000000000003</v>
      </c>
      <c r="T71" s="102">
        <f>T$20*(IF(YEAR(T$8)=2023,Inputs!$D$147,Inputs!$E$147))</f>
        <v>-199.47200000000001</v>
      </c>
      <c r="U71" s="102">
        <f>U$20*(IF(YEAR(U$8)=2023,Inputs!$D$147,Inputs!$E$147))</f>
        <v>-202.38400000000004</v>
      </c>
      <c r="V71" s="102">
        <f>V$20*(IF(YEAR(V$8)=2023,Inputs!$D$147,Inputs!$E$147))</f>
        <v>-205.29600000000002</v>
      </c>
      <c r="W71" s="102">
        <f>W$20*(IF(YEAR(W$8)=2023,Inputs!$D$147,Inputs!$E$147))</f>
        <v>-208.20800000000003</v>
      </c>
      <c r="X71" s="102">
        <f>X$20*(IF(YEAR(X$8)=2023,Inputs!$D$147,Inputs!$E$147))</f>
        <v>-211.12000000000003</v>
      </c>
      <c r="Y71" s="102">
        <f>Y$20*(IF(YEAR(Y$8)=2023,Inputs!$D$147,Inputs!$E$147))</f>
        <v>-214.03200000000001</v>
      </c>
      <c r="Z71" s="102">
        <f>Z$20*(IF(YEAR(Z$8)=2023,Inputs!$D$147,Inputs!$E$147))</f>
        <v>-216.94400000000005</v>
      </c>
      <c r="AA71" s="102">
        <f>AA$20*(IF(YEAR(AA$8)=2023,Inputs!$D$147,Inputs!$E$147))</f>
        <v>-219.85600000000002</v>
      </c>
    </row>
    <row r="72" spans="2:27" s="36" customFormat="1" outlineLevel="1">
      <c r="B72" s="110" t="s">
        <v>33</v>
      </c>
      <c r="D72" s="102">
        <f>D$20*(IF(YEAR(D$8)=2023,Inputs!$D$152,Inputs!$E$152))</f>
        <v>-107.625</v>
      </c>
      <c r="E72" s="102">
        <f>E$20*(IF(YEAR(E$8)=2023,Inputs!$D$152,Inputs!$E$152))</f>
        <v>-109.67500000000001</v>
      </c>
      <c r="F72" s="102">
        <f>F$20*(IF(YEAR(F$8)=2023,Inputs!$D$152,Inputs!$E$152))</f>
        <v>-111.72500000000001</v>
      </c>
      <c r="G72" s="102">
        <f>G$20*(IF(YEAR(G$8)=2023,Inputs!$D$152,Inputs!$E$152))</f>
        <v>-113.77500000000001</v>
      </c>
      <c r="H72" s="102">
        <f>H$20*(IF(YEAR(H$8)=2023,Inputs!$D$152,Inputs!$E$152))</f>
        <v>-115.825</v>
      </c>
      <c r="I72" s="102">
        <f>I$20*(IF(YEAR(I$8)=2023,Inputs!$D$152,Inputs!$E$152))</f>
        <v>-117.875</v>
      </c>
      <c r="J72" s="102">
        <f>J$20*(IF(YEAR(J$8)=2023,Inputs!$D$152,Inputs!$E$152))</f>
        <v>-119.92500000000001</v>
      </c>
      <c r="K72" s="102">
        <f>K$20*(IF(YEAR(K$8)=2023,Inputs!$D$152,Inputs!$E$152))</f>
        <v>-121.97500000000001</v>
      </c>
      <c r="L72" s="102">
        <f>L$20*(IF(YEAR(L$8)=2023,Inputs!$D$152,Inputs!$E$152))</f>
        <v>-124.02500000000001</v>
      </c>
      <c r="M72" s="102">
        <f>M$20*(IF(YEAR(M$8)=2023,Inputs!$D$152,Inputs!$E$152))</f>
        <v>-126.075</v>
      </c>
      <c r="N72" s="102">
        <f>N$20*(IF(YEAR(N$8)=2023,Inputs!$D$152,Inputs!$E$152))</f>
        <v>-128.125</v>
      </c>
      <c r="O72" s="102">
        <f>O$20*(IF(YEAR(O$8)=2023,Inputs!$D$152,Inputs!$E$152))</f>
        <v>-130.17500000000001</v>
      </c>
      <c r="P72" s="102">
        <f>P$20*(IF(YEAR(P$8)=2023,Inputs!$D$152,Inputs!$E$152))</f>
        <v>-134.16000000000003</v>
      </c>
      <c r="Q72" s="102">
        <f>Q$20*(IF(YEAR(Q$8)=2023,Inputs!$D$152,Inputs!$E$152))</f>
        <v>-136.24</v>
      </c>
      <c r="R72" s="102">
        <f>R$20*(IF(YEAR(R$8)=2023,Inputs!$D$152,Inputs!$E$152))</f>
        <v>-138.32000000000002</v>
      </c>
      <c r="S72" s="102">
        <f>S$20*(IF(YEAR(S$8)=2023,Inputs!$D$152,Inputs!$E$152))</f>
        <v>-140.4</v>
      </c>
      <c r="T72" s="102">
        <f>T$20*(IF(YEAR(T$8)=2023,Inputs!$D$152,Inputs!$E$152))</f>
        <v>-142.47999999999999</v>
      </c>
      <c r="U72" s="102">
        <f>U$20*(IF(YEAR(U$8)=2023,Inputs!$D$152,Inputs!$E$152))</f>
        <v>-144.56000000000003</v>
      </c>
      <c r="V72" s="102">
        <f>V$20*(IF(YEAR(V$8)=2023,Inputs!$D$152,Inputs!$E$152))</f>
        <v>-146.64000000000001</v>
      </c>
      <c r="W72" s="102">
        <f>W$20*(IF(YEAR(W$8)=2023,Inputs!$D$152,Inputs!$E$152))</f>
        <v>-148.72</v>
      </c>
      <c r="X72" s="102">
        <f>X$20*(IF(YEAR(X$8)=2023,Inputs!$D$152,Inputs!$E$152))</f>
        <v>-150.80000000000001</v>
      </c>
      <c r="Y72" s="102">
        <f>Y$20*(IF(YEAR(Y$8)=2023,Inputs!$D$152,Inputs!$E$152))</f>
        <v>-152.88</v>
      </c>
      <c r="Z72" s="102">
        <f>Z$20*(IF(YEAR(Z$8)=2023,Inputs!$D$152,Inputs!$E$152))</f>
        <v>-154.96000000000004</v>
      </c>
      <c r="AA72" s="102">
        <f>AA$20*(IF(YEAR(AA$8)=2023,Inputs!$D$152,Inputs!$E$152))</f>
        <v>-157.04000000000002</v>
      </c>
    </row>
    <row r="73" spans="2:27" s="36" customFormat="1" outlineLevel="1">
      <c r="B73" s="110" t="s">
        <v>34</v>
      </c>
      <c r="D73" s="102">
        <f>D$20*(IF(YEAR(D$8)=2023,Inputs!$D$157,Inputs!$E$157))</f>
        <v>-86.100000000000009</v>
      </c>
      <c r="E73" s="102">
        <f>E$20*(IF(YEAR(E$8)=2023,Inputs!$D$157,Inputs!$E$157))</f>
        <v>-87.74</v>
      </c>
      <c r="F73" s="102">
        <f>F$20*(IF(YEAR(F$8)=2023,Inputs!$D$157,Inputs!$E$157))</f>
        <v>-89.38</v>
      </c>
      <c r="G73" s="102">
        <f>G$20*(IF(YEAR(G$8)=2023,Inputs!$D$157,Inputs!$E$157))</f>
        <v>-91.02</v>
      </c>
      <c r="H73" s="102">
        <f>H$20*(IF(YEAR(H$8)=2023,Inputs!$D$157,Inputs!$E$157))</f>
        <v>-92.66</v>
      </c>
      <c r="I73" s="102">
        <f>I$20*(IF(YEAR(I$8)=2023,Inputs!$D$157,Inputs!$E$157))</f>
        <v>-94.3</v>
      </c>
      <c r="J73" s="102">
        <f>J$20*(IF(YEAR(J$8)=2023,Inputs!$D$157,Inputs!$E$157))</f>
        <v>-95.94</v>
      </c>
      <c r="K73" s="102">
        <f>K$20*(IF(YEAR(K$8)=2023,Inputs!$D$157,Inputs!$E$157))</f>
        <v>-97.58</v>
      </c>
      <c r="L73" s="102">
        <f>L$20*(IF(YEAR(L$8)=2023,Inputs!$D$157,Inputs!$E$157))</f>
        <v>-99.22</v>
      </c>
      <c r="M73" s="102">
        <f>M$20*(IF(YEAR(M$8)=2023,Inputs!$D$157,Inputs!$E$157))</f>
        <v>-100.86</v>
      </c>
      <c r="N73" s="102">
        <f>N$20*(IF(YEAR(N$8)=2023,Inputs!$D$157,Inputs!$E$157))</f>
        <v>-102.5</v>
      </c>
      <c r="O73" s="102">
        <f>O$20*(IF(YEAR(O$8)=2023,Inputs!$D$157,Inputs!$E$157))</f>
        <v>-104.14</v>
      </c>
      <c r="P73" s="102">
        <f>P$20*(IF(YEAR(P$8)=2023,Inputs!$D$157,Inputs!$E$157))</f>
        <v>-160.99200000000002</v>
      </c>
      <c r="Q73" s="102">
        <f>Q$20*(IF(YEAR(Q$8)=2023,Inputs!$D$157,Inputs!$E$157))</f>
        <v>-163.488</v>
      </c>
      <c r="R73" s="102">
        <f>R$20*(IF(YEAR(R$8)=2023,Inputs!$D$157,Inputs!$E$157))</f>
        <v>-165.98400000000001</v>
      </c>
      <c r="S73" s="102">
        <f>S$20*(IF(YEAR(S$8)=2023,Inputs!$D$157,Inputs!$E$157))</f>
        <v>-168.48</v>
      </c>
      <c r="T73" s="102">
        <f>T$20*(IF(YEAR(T$8)=2023,Inputs!$D$157,Inputs!$E$157))</f>
        <v>-170.976</v>
      </c>
      <c r="U73" s="102">
        <f>U$20*(IF(YEAR(U$8)=2023,Inputs!$D$157,Inputs!$E$157))</f>
        <v>-173.47200000000001</v>
      </c>
      <c r="V73" s="102">
        <f>V$20*(IF(YEAR(V$8)=2023,Inputs!$D$157,Inputs!$E$157))</f>
        <v>-175.96800000000002</v>
      </c>
      <c r="W73" s="102">
        <f>W$20*(IF(YEAR(W$8)=2023,Inputs!$D$157,Inputs!$E$157))</f>
        <v>-178.464</v>
      </c>
      <c r="X73" s="102">
        <f>X$20*(IF(YEAR(X$8)=2023,Inputs!$D$157,Inputs!$E$157))</f>
        <v>-180.95999999999998</v>
      </c>
      <c r="Y73" s="102">
        <f>Y$20*(IF(YEAR(Y$8)=2023,Inputs!$D$157,Inputs!$E$157))</f>
        <v>-183.45599999999999</v>
      </c>
      <c r="Z73" s="102">
        <f>Z$20*(IF(YEAR(Z$8)=2023,Inputs!$D$157,Inputs!$E$157))</f>
        <v>-185.952</v>
      </c>
      <c r="AA73" s="102">
        <f>AA$20*(IF(YEAR(AA$8)=2023,Inputs!$D$157,Inputs!$E$157))</f>
        <v>-188.44800000000001</v>
      </c>
    </row>
    <row r="74" spans="2:27" s="36" customFormat="1" outlineLevel="1">
      <c r="B74" s="110" t="s">
        <v>35</v>
      </c>
      <c r="D74" s="102">
        <f>D$20*(IF(YEAR(D$8)=2023,Inputs!$D$162,Inputs!$E$162))</f>
        <v>-32.287500000000001</v>
      </c>
      <c r="E74" s="102">
        <f>E$20*(IF(YEAR(E$8)=2023,Inputs!$D$162,Inputs!$E$162))</f>
        <v>-32.902499999999996</v>
      </c>
      <c r="F74" s="102">
        <f>F$20*(IF(YEAR(F$8)=2023,Inputs!$D$162,Inputs!$E$162))</f>
        <v>-33.517499999999998</v>
      </c>
      <c r="G74" s="102">
        <f>G$20*(IF(YEAR(G$8)=2023,Inputs!$D$162,Inputs!$E$162))</f>
        <v>-34.1325</v>
      </c>
      <c r="H74" s="102">
        <f>H$20*(IF(YEAR(H$8)=2023,Inputs!$D$162,Inputs!$E$162))</f>
        <v>-34.747499999999995</v>
      </c>
      <c r="I74" s="102">
        <f>I$20*(IF(YEAR(I$8)=2023,Inputs!$D$162,Inputs!$E$162))</f>
        <v>-35.362499999999997</v>
      </c>
      <c r="J74" s="102">
        <f>J$20*(IF(YEAR(J$8)=2023,Inputs!$D$162,Inputs!$E$162))</f>
        <v>-35.977499999999999</v>
      </c>
      <c r="K74" s="102">
        <f>K$20*(IF(YEAR(K$8)=2023,Inputs!$D$162,Inputs!$E$162))</f>
        <v>-36.592500000000001</v>
      </c>
      <c r="L74" s="102">
        <f>L$20*(IF(YEAR(L$8)=2023,Inputs!$D$162,Inputs!$E$162))</f>
        <v>-37.207499999999996</v>
      </c>
      <c r="M74" s="102">
        <f>M$20*(IF(YEAR(M$8)=2023,Inputs!$D$162,Inputs!$E$162))</f>
        <v>-37.822499999999998</v>
      </c>
      <c r="N74" s="102">
        <f>N$20*(IF(YEAR(N$8)=2023,Inputs!$D$162,Inputs!$E$162))</f>
        <v>-38.4375</v>
      </c>
      <c r="O74" s="102">
        <f>O$20*(IF(YEAR(O$8)=2023,Inputs!$D$162,Inputs!$E$162))</f>
        <v>-39.052500000000002</v>
      </c>
      <c r="P74" s="102">
        <f>P$20*(IF(YEAR(P$8)=2023,Inputs!$D$162,Inputs!$E$162))</f>
        <v>-26.832000000000004</v>
      </c>
      <c r="Q74" s="102">
        <f>Q$20*(IF(YEAR(Q$8)=2023,Inputs!$D$162,Inputs!$E$162))</f>
        <v>-27.248000000000001</v>
      </c>
      <c r="R74" s="102">
        <f>R$20*(IF(YEAR(R$8)=2023,Inputs!$D$162,Inputs!$E$162))</f>
        <v>-27.664000000000001</v>
      </c>
      <c r="S74" s="102">
        <f>S$20*(IF(YEAR(S$8)=2023,Inputs!$D$162,Inputs!$E$162))</f>
        <v>-28.080000000000002</v>
      </c>
      <c r="T74" s="102">
        <f>T$20*(IF(YEAR(T$8)=2023,Inputs!$D$162,Inputs!$E$162))</f>
        <v>-28.495999999999999</v>
      </c>
      <c r="U74" s="102">
        <f>U$20*(IF(YEAR(U$8)=2023,Inputs!$D$162,Inputs!$E$162))</f>
        <v>-28.912000000000003</v>
      </c>
      <c r="V74" s="102">
        <f>V$20*(IF(YEAR(V$8)=2023,Inputs!$D$162,Inputs!$E$162))</f>
        <v>-29.328000000000003</v>
      </c>
      <c r="W74" s="102">
        <f>W$20*(IF(YEAR(W$8)=2023,Inputs!$D$162,Inputs!$E$162))</f>
        <v>-29.744</v>
      </c>
      <c r="X74" s="102">
        <f>X$20*(IF(YEAR(X$8)=2023,Inputs!$D$162,Inputs!$E$162))</f>
        <v>-30.16</v>
      </c>
      <c r="Y74" s="102">
        <f>Y$20*(IF(YEAR(Y$8)=2023,Inputs!$D$162,Inputs!$E$162))</f>
        <v>-30.576000000000001</v>
      </c>
      <c r="Z74" s="102">
        <f>Z$20*(IF(YEAR(Z$8)=2023,Inputs!$D$162,Inputs!$E$162))</f>
        <v>-30.992000000000004</v>
      </c>
      <c r="AA74" s="102">
        <f>AA$20*(IF(YEAR(AA$8)=2023,Inputs!$D$162,Inputs!$E$162))</f>
        <v>-31.408000000000001</v>
      </c>
    </row>
    <row r="75" spans="2:27" s="36" customFormat="1" outlineLevel="1">
      <c r="B75" s="48" t="s">
        <v>114</v>
      </c>
      <c r="C75" s="48"/>
      <c r="D75" s="143">
        <f>SUM(D68:D74)</f>
        <v>-1076.2499999999998</v>
      </c>
      <c r="E75" s="143">
        <f t="shared" ref="E75:AA75" si="18">SUM(E68:E74)</f>
        <v>-1096.75</v>
      </c>
      <c r="F75" s="143">
        <f t="shared" si="18"/>
        <v>-1117.25</v>
      </c>
      <c r="G75" s="143">
        <f t="shared" si="18"/>
        <v>-1137.7500000000002</v>
      </c>
      <c r="H75" s="143">
        <f t="shared" si="18"/>
        <v>-1158.2500000000002</v>
      </c>
      <c r="I75" s="143">
        <f t="shared" si="18"/>
        <v>-1178.75</v>
      </c>
      <c r="J75" s="143">
        <f t="shared" si="18"/>
        <v>-1199.25</v>
      </c>
      <c r="K75" s="143">
        <f t="shared" si="18"/>
        <v>-1219.75</v>
      </c>
      <c r="L75" s="143">
        <f t="shared" si="18"/>
        <v>-1240.25</v>
      </c>
      <c r="M75" s="143">
        <f t="shared" si="18"/>
        <v>-1260.75</v>
      </c>
      <c r="N75" s="143">
        <f t="shared" si="18"/>
        <v>-1281.25</v>
      </c>
      <c r="O75" s="143">
        <f t="shared" si="18"/>
        <v>-1301.7500000000002</v>
      </c>
      <c r="P75" s="143">
        <f t="shared" si="18"/>
        <v>-1341.6000000000001</v>
      </c>
      <c r="Q75" s="143">
        <f t="shared" si="18"/>
        <v>-1362.4000000000003</v>
      </c>
      <c r="R75" s="143">
        <f t="shared" si="18"/>
        <v>-1383.1999999999998</v>
      </c>
      <c r="S75" s="143">
        <f t="shared" si="18"/>
        <v>-1404</v>
      </c>
      <c r="T75" s="143">
        <f t="shared" si="18"/>
        <v>-1424.8000000000002</v>
      </c>
      <c r="U75" s="143">
        <f t="shared" si="18"/>
        <v>-1445.6000000000001</v>
      </c>
      <c r="V75" s="143">
        <f t="shared" si="18"/>
        <v>-1466.4000000000003</v>
      </c>
      <c r="W75" s="143">
        <f t="shared" si="18"/>
        <v>-1487.2</v>
      </c>
      <c r="X75" s="143">
        <f t="shared" si="18"/>
        <v>-1508.0000000000002</v>
      </c>
      <c r="Y75" s="143">
        <f t="shared" si="18"/>
        <v>-1528.8</v>
      </c>
      <c r="Z75" s="143">
        <f t="shared" si="18"/>
        <v>-1549.6000000000001</v>
      </c>
      <c r="AA75" s="143">
        <f t="shared" si="18"/>
        <v>-1570.4</v>
      </c>
    </row>
    <row r="76" spans="2:27" s="36" customFormat="1" outlineLevel="1">
      <c r="B76" s="48"/>
      <c r="C76" s="48"/>
    </row>
    <row r="77" spans="2:27" s="36" customFormat="1" outlineLevel="1">
      <c r="B77" s="107" t="s">
        <v>189</v>
      </c>
      <c r="C77" s="107"/>
    </row>
    <row r="78" spans="2:27" s="36" customFormat="1" outlineLevel="1">
      <c r="B78" s="48"/>
      <c r="C78" s="48"/>
    </row>
    <row r="79" spans="2:27" s="36" customFormat="1" outlineLevel="1">
      <c r="B79" s="110" t="s">
        <v>30</v>
      </c>
      <c r="C79" s="48"/>
      <c r="D79" s="102">
        <f t="shared" ref="D79:AA79" si="19">D57+D68</f>
        <v>-215.24200000000005</v>
      </c>
      <c r="E79" s="102">
        <f t="shared" si="19"/>
        <v>-219.16920000000005</v>
      </c>
      <c r="F79" s="102">
        <f t="shared" si="19"/>
        <v>-223.09640000000005</v>
      </c>
      <c r="G79" s="102">
        <f t="shared" si="19"/>
        <v>-227.02360000000007</v>
      </c>
      <c r="H79" s="102">
        <f t="shared" si="19"/>
        <v>-230.95080000000007</v>
      </c>
      <c r="I79" s="102">
        <f t="shared" si="19"/>
        <v>-234.87800000000001</v>
      </c>
      <c r="J79" s="102">
        <f t="shared" si="19"/>
        <v>-238.80520000000001</v>
      </c>
      <c r="K79" s="102">
        <f t="shared" si="19"/>
        <v>-242.73240000000004</v>
      </c>
      <c r="L79" s="102">
        <f t="shared" si="19"/>
        <v>-246.65960000000004</v>
      </c>
      <c r="M79" s="102">
        <f t="shared" si="19"/>
        <v>-250.58680000000004</v>
      </c>
      <c r="N79" s="102">
        <f t="shared" si="19"/>
        <v>-254.51400000000004</v>
      </c>
      <c r="O79" s="102">
        <f t="shared" si="19"/>
        <v>-262.0668</v>
      </c>
      <c r="P79" s="102">
        <f t="shared" si="19"/>
        <v>-269.95050000000003</v>
      </c>
      <c r="Q79" s="102">
        <f t="shared" si="19"/>
        <v>-276.77950000000004</v>
      </c>
      <c r="R79" s="102">
        <f t="shared" si="19"/>
        <v>-283.60850000000005</v>
      </c>
      <c r="S79" s="102">
        <f t="shared" si="19"/>
        <v>-290.4375</v>
      </c>
      <c r="T79" s="102">
        <f t="shared" si="19"/>
        <v>-297.26649999999995</v>
      </c>
      <c r="U79" s="102">
        <f t="shared" si="19"/>
        <v>-304.09550000000007</v>
      </c>
      <c r="V79" s="102">
        <f t="shared" si="19"/>
        <v>-310.92450000000002</v>
      </c>
      <c r="W79" s="102">
        <f t="shared" si="19"/>
        <v>-317.75350000000003</v>
      </c>
      <c r="X79" s="102">
        <f t="shared" si="19"/>
        <v>-324.5825000000001</v>
      </c>
      <c r="Y79" s="102">
        <f t="shared" si="19"/>
        <v>-331.41149999999999</v>
      </c>
      <c r="Z79" s="102">
        <f t="shared" si="19"/>
        <v>-337.53000000000009</v>
      </c>
      <c r="AA79" s="102">
        <f t="shared" si="19"/>
        <v>-343.64850000000001</v>
      </c>
    </row>
    <row r="80" spans="2:27" s="36" customFormat="1" outlineLevel="1">
      <c r="B80" s="110" t="s">
        <v>43</v>
      </c>
      <c r="C80" s="48"/>
      <c r="D80" s="102">
        <f t="shared" ref="D80:AA80" si="20">D58+D69</f>
        <v>-136.97</v>
      </c>
      <c r="E80" s="102">
        <f t="shared" si="20"/>
        <v>-139.42200000000003</v>
      </c>
      <c r="F80" s="102">
        <f t="shared" si="20"/>
        <v>-141.87400000000002</v>
      </c>
      <c r="G80" s="102">
        <f t="shared" si="20"/>
        <v>-144.32600000000002</v>
      </c>
      <c r="H80" s="102">
        <f t="shared" si="20"/>
        <v>-146.77799999999999</v>
      </c>
      <c r="I80" s="102">
        <f t="shared" si="20"/>
        <v>-149.22999999999999</v>
      </c>
      <c r="J80" s="102">
        <f t="shared" si="20"/>
        <v>-151.68200000000002</v>
      </c>
      <c r="K80" s="102">
        <f t="shared" si="20"/>
        <v>-154.13400000000001</v>
      </c>
      <c r="L80" s="102">
        <f t="shared" si="20"/>
        <v>-156.58600000000001</v>
      </c>
      <c r="M80" s="102">
        <f t="shared" si="20"/>
        <v>-159.03799999999998</v>
      </c>
      <c r="N80" s="102">
        <f t="shared" si="20"/>
        <v>-161.48999999999998</v>
      </c>
      <c r="O80" s="102">
        <f t="shared" si="20"/>
        <v>-167.238</v>
      </c>
      <c r="P80" s="102">
        <f t="shared" si="20"/>
        <v>-185.05170000000001</v>
      </c>
      <c r="Q80" s="102">
        <f t="shared" si="20"/>
        <v>-190.26229999999998</v>
      </c>
      <c r="R80" s="102">
        <f t="shared" si="20"/>
        <v>-195.47289999999998</v>
      </c>
      <c r="S80" s="102">
        <f t="shared" si="20"/>
        <v>-200.68349999999998</v>
      </c>
      <c r="T80" s="102">
        <f t="shared" si="20"/>
        <v>-205.89409999999998</v>
      </c>
      <c r="U80" s="102">
        <f t="shared" si="20"/>
        <v>-211.10470000000004</v>
      </c>
      <c r="V80" s="102">
        <f t="shared" si="20"/>
        <v>-216.31530000000004</v>
      </c>
      <c r="W80" s="102">
        <f t="shared" si="20"/>
        <v>-221.52589999999995</v>
      </c>
      <c r="X80" s="102">
        <f t="shared" si="20"/>
        <v>-226.73649999999998</v>
      </c>
      <c r="Y80" s="102">
        <f t="shared" si="20"/>
        <v>-231.94709999999998</v>
      </c>
      <c r="Z80" s="102">
        <f t="shared" si="20"/>
        <v>-236.52840000000003</v>
      </c>
      <c r="AA80" s="102">
        <f t="shared" si="20"/>
        <v>-241.10970000000003</v>
      </c>
    </row>
    <row r="81" spans="1:27" s="36" customFormat="1" outlineLevel="1">
      <c r="B81" s="110" t="s">
        <v>31</v>
      </c>
      <c r="C81" s="48"/>
      <c r="D81" s="102">
        <f t="shared" ref="D81:AA81" si="21">D59+D70</f>
        <v>-112.51050000000001</v>
      </c>
      <c r="E81" s="102">
        <f t="shared" si="21"/>
        <v>-114.51230000000002</v>
      </c>
      <c r="F81" s="102">
        <f t="shared" si="21"/>
        <v>-116.51410000000001</v>
      </c>
      <c r="G81" s="102">
        <f t="shared" si="21"/>
        <v>-118.51590000000002</v>
      </c>
      <c r="H81" s="102">
        <f t="shared" si="21"/>
        <v>-120.51769999999999</v>
      </c>
      <c r="I81" s="102">
        <f t="shared" si="21"/>
        <v>-122.51950000000002</v>
      </c>
      <c r="J81" s="102">
        <f t="shared" si="21"/>
        <v>-124.5213</v>
      </c>
      <c r="K81" s="102">
        <f t="shared" si="21"/>
        <v>-126.5231</v>
      </c>
      <c r="L81" s="102">
        <f t="shared" si="21"/>
        <v>-128.5249</v>
      </c>
      <c r="M81" s="102">
        <f t="shared" si="21"/>
        <v>-130.52670000000001</v>
      </c>
      <c r="N81" s="102">
        <f t="shared" si="21"/>
        <v>-132.52850000000004</v>
      </c>
      <c r="O81" s="102">
        <f t="shared" si="21"/>
        <v>-137.4967</v>
      </c>
      <c r="P81" s="102">
        <f t="shared" si="21"/>
        <v>-160.47300000000004</v>
      </c>
      <c r="Q81" s="102">
        <f t="shared" si="21"/>
        <v>-165.22700000000006</v>
      </c>
      <c r="R81" s="102">
        <f t="shared" si="21"/>
        <v>-169.98100000000005</v>
      </c>
      <c r="S81" s="102">
        <f t="shared" si="21"/>
        <v>-174.73500000000001</v>
      </c>
      <c r="T81" s="102">
        <f t="shared" si="21"/>
        <v>-179.48900000000003</v>
      </c>
      <c r="U81" s="102">
        <f t="shared" si="21"/>
        <v>-184.24300000000005</v>
      </c>
      <c r="V81" s="102">
        <f t="shared" si="21"/>
        <v>-188.99700000000004</v>
      </c>
      <c r="W81" s="102">
        <f t="shared" si="21"/>
        <v>-193.751</v>
      </c>
      <c r="X81" s="102">
        <f t="shared" si="21"/>
        <v>-198.50500000000005</v>
      </c>
      <c r="Y81" s="102">
        <f t="shared" si="21"/>
        <v>-203.25900000000001</v>
      </c>
      <c r="Z81" s="102">
        <f t="shared" si="21"/>
        <v>-207.40400000000005</v>
      </c>
      <c r="AA81" s="102">
        <f t="shared" si="21"/>
        <v>-211.54900000000004</v>
      </c>
    </row>
    <row r="82" spans="1:27" s="36" customFormat="1" outlineLevel="1">
      <c r="B82" s="110" t="s">
        <v>32</v>
      </c>
      <c r="C82" s="48"/>
      <c r="D82" s="102">
        <f t="shared" ref="D82:AA82" si="22">D60+D71</f>
        <v>-86.094000000000023</v>
      </c>
      <c r="E82" s="102">
        <f t="shared" si="22"/>
        <v>-87.604400000000027</v>
      </c>
      <c r="F82" s="102">
        <f t="shared" si="22"/>
        <v>-89.114800000000017</v>
      </c>
      <c r="G82" s="102">
        <f t="shared" si="22"/>
        <v>-90.625200000000035</v>
      </c>
      <c r="H82" s="102">
        <f t="shared" si="22"/>
        <v>-92.135600000000025</v>
      </c>
      <c r="I82" s="102">
        <f t="shared" si="22"/>
        <v>-93.646000000000015</v>
      </c>
      <c r="J82" s="102">
        <f t="shared" si="22"/>
        <v>-95.156400000000005</v>
      </c>
      <c r="K82" s="102">
        <f t="shared" si="22"/>
        <v>-96.666800000000023</v>
      </c>
      <c r="L82" s="102">
        <f t="shared" si="22"/>
        <v>-98.177200000000042</v>
      </c>
      <c r="M82" s="102">
        <f t="shared" si="22"/>
        <v>-99.687600000000032</v>
      </c>
      <c r="N82" s="102">
        <f t="shared" si="22"/>
        <v>-101.19800000000005</v>
      </c>
      <c r="O82" s="102">
        <f t="shared" si="22"/>
        <v>-105.42760000000001</v>
      </c>
      <c r="P82" s="102">
        <f t="shared" si="22"/>
        <v>-113.46510000000006</v>
      </c>
      <c r="Q82" s="102">
        <f t="shared" si="22"/>
        <v>-117.71690000000004</v>
      </c>
      <c r="R82" s="102">
        <f t="shared" si="22"/>
        <v>-121.96870000000003</v>
      </c>
      <c r="S82" s="102">
        <f t="shared" si="22"/>
        <v>-126.22050000000004</v>
      </c>
      <c r="T82" s="102">
        <f t="shared" si="22"/>
        <v>-130.47230000000002</v>
      </c>
      <c r="U82" s="102">
        <f t="shared" si="22"/>
        <v>-134.72410000000008</v>
      </c>
      <c r="V82" s="102">
        <f t="shared" si="22"/>
        <v>-138.97590000000002</v>
      </c>
      <c r="W82" s="102">
        <f t="shared" si="22"/>
        <v>-143.22770000000003</v>
      </c>
      <c r="X82" s="102">
        <f t="shared" si="22"/>
        <v>-147.47950000000003</v>
      </c>
      <c r="Y82" s="102">
        <f t="shared" si="22"/>
        <v>-151.73130000000003</v>
      </c>
      <c r="Z82" s="102">
        <f t="shared" si="22"/>
        <v>-155.31320000000005</v>
      </c>
      <c r="AA82" s="102">
        <f t="shared" si="22"/>
        <v>-158.89510000000004</v>
      </c>
    </row>
    <row r="83" spans="1:27" s="36" customFormat="1" outlineLevel="1">
      <c r="B83" s="110" t="s">
        <v>33</v>
      </c>
      <c r="C83" s="48"/>
      <c r="D83" s="102">
        <f t="shared" ref="D83:AA83" si="23">D61+D72</f>
        <v>-43.043999999999997</v>
      </c>
      <c r="E83" s="102">
        <f t="shared" si="23"/>
        <v>-43.734400000000022</v>
      </c>
      <c r="F83" s="102">
        <f t="shared" si="23"/>
        <v>-44.424800000000005</v>
      </c>
      <c r="G83" s="102">
        <f t="shared" si="23"/>
        <v>-45.115200000000016</v>
      </c>
      <c r="H83" s="102">
        <f t="shared" si="23"/>
        <v>-45.805599999999998</v>
      </c>
      <c r="I83" s="102">
        <f t="shared" si="23"/>
        <v>-46.495999999999995</v>
      </c>
      <c r="J83" s="102">
        <f t="shared" si="23"/>
        <v>-47.186400000000006</v>
      </c>
      <c r="K83" s="102">
        <f t="shared" si="23"/>
        <v>-47.876800000000017</v>
      </c>
      <c r="L83" s="102">
        <f t="shared" si="23"/>
        <v>-48.5672</v>
      </c>
      <c r="M83" s="102">
        <f t="shared" si="23"/>
        <v>-49.257599999999996</v>
      </c>
      <c r="N83" s="102">
        <f t="shared" si="23"/>
        <v>-49.948000000000008</v>
      </c>
      <c r="O83" s="102">
        <f t="shared" si="23"/>
        <v>-53.357600000000005</v>
      </c>
      <c r="P83" s="102">
        <f t="shared" si="23"/>
        <v>-41.774700000000024</v>
      </c>
      <c r="Q83" s="102">
        <f t="shared" si="23"/>
        <v>-45.519300000000001</v>
      </c>
      <c r="R83" s="102">
        <f t="shared" si="23"/>
        <v>-49.263900000000035</v>
      </c>
      <c r="S83" s="102">
        <f t="shared" si="23"/>
        <v>-53.008499999999998</v>
      </c>
      <c r="T83" s="102">
        <f t="shared" si="23"/>
        <v>-56.753100000000003</v>
      </c>
      <c r="U83" s="102">
        <f t="shared" si="23"/>
        <v>-60.497700000000037</v>
      </c>
      <c r="V83" s="102">
        <f t="shared" si="23"/>
        <v>-64.242300000000029</v>
      </c>
      <c r="W83" s="102">
        <f t="shared" si="23"/>
        <v>-67.986899999999991</v>
      </c>
      <c r="X83" s="102">
        <f t="shared" si="23"/>
        <v>-71.731500000000011</v>
      </c>
      <c r="Y83" s="102">
        <f t="shared" si="23"/>
        <v>-75.476099999999988</v>
      </c>
      <c r="Z83" s="102">
        <f t="shared" si="23"/>
        <v>-78.388400000000047</v>
      </c>
      <c r="AA83" s="102">
        <f t="shared" si="23"/>
        <v>-81.300700000000035</v>
      </c>
    </row>
    <row r="84" spans="1:27" s="36" customFormat="1" outlineLevel="1">
      <c r="B84" s="110" t="s">
        <v>34</v>
      </c>
      <c r="C84" s="48"/>
      <c r="D84" s="102">
        <f t="shared" ref="D84:AA84" si="24">D62+D73</f>
        <v>-41.088999999999999</v>
      </c>
      <c r="E84" s="102">
        <f t="shared" si="24"/>
        <v>-41.781399999999984</v>
      </c>
      <c r="F84" s="102">
        <f t="shared" si="24"/>
        <v>-42.473799999999983</v>
      </c>
      <c r="G84" s="102">
        <f t="shared" si="24"/>
        <v>-43.166199999999989</v>
      </c>
      <c r="H84" s="102">
        <f t="shared" si="24"/>
        <v>-43.858599999999981</v>
      </c>
      <c r="I84" s="102">
        <f t="shared" si="24"/>
        <v>-44.550999999999988</v>
      </c>
      <c r="J84" s="102">
        <f t="shared" si="24"/>
        <v>-45.24339999999998</v>
      </c>
      <c r="K84" s="102">
        <f t="shared" si="24"/>
        <v>-45.935799999999986</v>
      </c>
      <c r="L84" s="102">
        <f t="shared" si="24"/>
        <v>-46.628199999999993</v>
      </c>
      <c r="M84" s="102">
        <f t="shared" si="24"/>
        <v>-47.320599999999985</v>
      </c>
      <c r="N84" s="102">
        <f t="shared" si="24"/>
        <v>-48.012999999999991</v>
      </c>
      <c r="O84" s="102">
        <f t="shared" si="24"/>
        <v>-50.600599999999986</v>
      </c>
      <c r="P84" s="102">
        <f t="shared" si="24"/>
        <v>-73.113300000000024</v>
      </c>
      <c r="Q84" s="102">
        <f t="shared" si="24"/>
        <v>-77.192700000000002</v>
      </c>
      <c r="R84" s="102">
        <f t="shared" si="24"/>
        <v>-81.272100000000009</v>
      </c>
      <c r="S84" s="102">
        <f t="shared" si="24"/>
        <v>-85.351500000000001</v>
      </c>
      <c r="T84" s="102">
        <f t="shared" si="24"/>
        <v>-89.430900000000008</v>
      </c>
      <c r="U84" s="102">
        <f t="shared" si="24"/>
        <v>-93.510300000000015</v>
      </c>
      <c r="V84" s="102">
        <f t="shared" si="24"/>
        <v>-97.589700000000022</v>
      </c>
      <c r="W84" s="102">
        <f t="shared" si="24"/>
        <v>-101.66910000000001</v>
      </c>
      <c r="X84" s="102">
        <f t="shared" si="24"/>
        <v>-105.74849999999998</v>
      </c>
      <c r="Y84" s="102">
        <f t="shared" si="24"/>
        <v>-109.8279</v>
      </c>
      <c r="Z84" s="102">
        <f t="shared" si="24"/>
        <v>-113.1156</v>
      </c>
      <c r="AA84" s="102">
        <f t="shared" si="24"/>
        <v>-116.40330000000002</v>
      </c>
    </row>
    <row r="85" spans="1:27" s="36" customFormat="1" outlineLevel="1">
      <c r="B85" s="110" t="s">
        <v>35</v>
      </c>
      <c r="C85" s="48"/>
      <c r="D85" s="102">
        <f t="shared" ref="D85:AA85" si="25">D63+D74</f>
        <v>-49.900500000000001</v>
      </c>
      <c r="E85" s="102">
        <f t="shared" si="25"/>
        <v>-50.886299999999991</v>
      </c>
      <c r="F85" s="102">
        <f t="shared" si="25"/>
        <v>-51.872100000000003</v>
      </c>
      <c r="G85" s="102">
        <f t="shared" si="25"/>
        <v>-52.857900000000001</v>
      </c>
      <c r="H85" s="102">
        <f t="shared" si="25"/>
        <v>-53.843699999999998</v>
      </c>
      <c r="I85" s="102">
        <f t="shared" si="25"/>
        <v>-54.829499999999996</v>
      </c>
      <c r="J85" s="102">
        <f t="shared" si="25"/>
        <v>-55.815300000000001</v>
      </c>
      <c r="K85" s="102">
        <f t="shared" si="25"/>
        <v>-56.801100000000005</v>
      </c>
      <c r="L85" s="102">
        <f t="shared" si="25"/>
        <v>-57.786899999999989</v>
      </c>
      <c r="M85" s="102">
        <f t="shared" si="25"/>
        <v>-58.7727</v>
      </c>
      <c r="N85" s="102">
        <f t="shared" si="25"/>
        <v>-59.758499999999998</v>
      </c>
      <c r="O85" s="102">
        <f t="shared" si="25"/>
        <v>-60.002700000000004</v>
      </c>
      <c r="P85" s="102">
        <f t="shared" si="25"/>
        <v>-47.111699999999999</v>
      </c>
      <c r="Q85" s="102">
        <f t="shared" si="25"/>
        <v>-47.162300000000002</v>
      </c>
      <c r="R85" s="102">
        <f t="shared" si="25"/>
        <v>-47.212900000000005</v>
      </c>
      <c r="S85" s="102">
        <f t="shared" si="25"/>
        <v>-47.263500000000001</v>
      </c>
      <c r="T85" s="102">
        <f t="shared" si="25"/>
        <v>-47.314099999999996</v>
      </c>
      <c r="U85" s="102">
        <f t="shared" si="25"/>
        <v>-47.364699999999999</v>
      </c>
      <c r="V85" s="102">
        <f t="shared" si="25"/>
        <v>-47.415300000000002</v>
      </c>
      <c r="W85" s="102">
        <f t="shared" si="25"/>
        <v>-47.465899999999998</v>
      </c>
      <c r="X85" s="102">
        <f t="shared" si="25"/>
        <v>-47.516499999999994</v>
      </c>
      <c r="Y85" s="102">
        <f t="shared" si="25"/>
        <v>-47.567099999999996</v>
      </c>
      <c r="Z85" s="102">
        <f t="shared" si="25"/>
        <v>-47.800400000000003</v>
      </c>
      <c r="AA85" s="102">
        <f t="shared" si="25"/>
        <v>-48.033699999999996</v>
      </c>
    </row>
    <row r="86" spans="1:27" s="48" customFormat="1" outlineLevel="1">
      <c r="B86" s="48" t="s">
        <v>190</v>
      </c>
      <c r="D86" s="143">
        <f>SUM(D79:D85)</f>
        <v>-684.85000000000014</v>
      </c>
      <c r="E86" s="143">
        <f t="shared" ref="E86:AA86" si="26">SUM(E79:E85)</f>
        <v>-697.11000000000013</v>
      </c>
      <c r="F86" s="143">
        <f t="shared" si="26"/>
        <v>-709.37000000000012</v>
      </c>
      <c r="G86" s="143">
        <f t="shared" si="26"/>
        <v>-721.63000000000022</v>
      </c>
      <c r="H86" s="143">
        <f t="shared" si="26"/>
        <v>-733.89000000000021</v>
      </c>
      <c r="I86" s="143">
        <f t="shared" si="26"/>
        <v>-746.15000000000009</v>
      </c>
      <c r="J86" s="143">
        <f t="shared" si="26"/>
        <v>-758.41</v>
      </c>
      <c r="K86" s="143">
        <f t="shared" si="26"/>
        <v>-770.67</v>
      </c>
      <c r="L86" s="143">
        <f t="shared" si="26"/>
        <v>-782.93000000000006</v>
      </c>
      <c r="M86" s="143">
        <f t="shared" si="26"/>
        <v>-795.19000000000017</v>
      </c>
      <c r="N86" s="143">
        <f t="shared" si="26"/>
        <v>-807.45000000000016</v>
      </c>
      <c r="O86" s="143">
        <f t="shared" si="26"/>
        <v>-836.19</v>
      </c>
      <c r="P86" s="143">
        <f t="shared" si="26"/>
        <v>-890.94000000000028</v>
      </c>
      <c r="Q86" s="143">
        <f t="shared" si="26"/>
        <v>-919.86000000000013</v>
      </c>
      <c r="R86" s="143">
        <f t="shared" si="26"/>
        <v>-948.78000000000009</v>
      </c>
      <c r="S86" s="143">
        <f t="shared" si="26"/>
        <v>-977.7</v>
      </c>
      <c r="T86" s="143">
        <f t="shared" si="26"/>
        <v>-1006.6200000000001</v>
      </c>
      <c r="U86" s="143">
        <f t="shared" si="26"/>
        <v>-1035.5400000000004</v>
      </c>
      <c r="V86" s="143">
        <f t="shared" si="26"/>
        <v>-1064.46</v>
      </c>
      <c r="W86" s="143">
        <f t="shared" si="26"/>
        <v>-1093.3799999999999</v>
      </c>
      <c r="X86" s="143">
        <f t="shared" si="26"/>
        <v>-1122.3</v>
      </c>
      <c r="Y86" s="143">
        <f t="shared" si="26"/>
        <v>-1151.22</v>
      </c>
      <c r="Z86" s="143">
        <f t="shared" si="26"/>
        <v>-1176.0800000000004</v>
      </c>
      <c r="AA86" s="143">
        <f t="shared" si="26"/>
        <v>-1200.94</v>
      </c>
    </row>
    <row r="87" spans="1:27" outlineLevel="1">
      <c r="B87" s="43"/>
      <c r="C87" s="43"/>
    </row>
    <row r="88" spans="1:27" outlineLevel="1">
      <c r="B88" s="58" t="s">
        <v>46</v>
      </c>
      <c r="C88" s="58"/>
      <c r="D88" s="59">
        <f t="shared" ref="D88:AA88" si="27">D14-D42</f>
        <v>0</v>
      </c>
      <c r="E88" s="59">
        <f t="shared" si="27"/>
        <v>0</v>
      </c>
      <c r="F88" s="59">
        <f t="shared" si="27"/>
        <v>0</v>
      </c>
      <c r="G88" s="59">
        <f t="shared" si="27"/>
        <v>0</v>
      </c>
      <c r="H88" s="59">
        <f t="shared" si="27"/>
        <v>0</v>
      </c>
      <c r="I88" s="59">
        <f t="shared" si="27"/>
        <v>0</v>
      </c>
      <c r="J88" s="59">
        <f t="shared" si="27"/>
        <v>0</v>
      </c>
      <c r="K88" s="59">
        <f t="shared" si="27"/>
        <v>0</v>
      </c>
      <c r="L88" s="59">
        <f t="shared" si="27"/>
        <v>0</v>
      </c>
      <c r="M88" s="59">
        <f t="shared" si="27"/>
        <v>0</v>
      </c>
      <c r="N88" s="59">
        <f t="shared" si="27"/>
        <v>0</v>
      </c>
      <c r="O88" s="59">
        <f t="shared" si="27"/>
        <v>0</v>
      </c>
      <c r="P88" s="59">
        <f t="shared" si="27"/>
        <v>0</v>
      </c>
      <c r="Q88" s="59">
        <f t="shared" si="27"/>
        <v>0</v>
      </c>
      <c r="R88" s="59">
        <f t="shared" si="27"/>
        <v>0</v>
      </c>
      <c r="S88" s="59">
        <f t="shared" si="27"/>
        <v>0</v>
      </c>
      <c r="T88" s="59">
        <f t="shared" si="27"/>
        <v>0</v>
      </c>
      <c r="U88" s="59">
        <f t="shared" si="27"/>
        <v>0</v>
      </c>
      <c r="V88" s="59">
        <f t="shared" si="27"/>
        <v>0</v>
      </c>
      <c r="W88" s="59">
        <f t="shared" si="27"/>
        <v>0</v>
      </c>
      <c r="X88" s="59">
        <f t="shared" si="27"/>
        <v>0</v>
      </c>
      <c r="Y88" s="59">
        <f t="shared" si="27"/>
        <v>0</v>
      </c>
      <c r="Z88" s="59">
        <f t="shared" si="27"/>
        <v>0</v>
      </c>
      <c r="AA88" s="59">
        <f t="shared" si="27"/>
        <v>0</v>
      </c>
    </row>
    <row r="89" spans="1:27" outlineLevel="1">
      <c r="B89" s="58" t="s">
        <v>107</v>
      </c>
      <c r="C89" s="58"/>
      <c r="D89" s="59">
        <f t="shared" ref="D89:AA89" si="28">D15-D53</f>
        <v>0</v>
      </c>
      <c r="E89" s="59">
        <f t="shared" si="28"/>
        <v>0</v>
      </c>
      <c r="F89" s="59">
        <f t="shared" si="28"/>
        <v>0</v>
      </c>
      <c r="G89" s="59">
        <f t="shared" si="28"/>
        <v>0</v>
      </c>
      <c r="H89" s="59">
        <f t="shared" si="28"/>
        <v>0</v>
      </c>
      <c r="I89" s="59">
        <f t="shared" si="28"/>
        <v>0</v>
      </c>
      <c r="J89" s="59">
        <f t="shared" si="28"/>
        <v>0</v>
      </c>
      <c r="K89" s="59">
        <f t="shared" si="28"/>
        <v>0</v>
      </c>
      <c r="L89" s="59">
        <f t="shared" si="28"/>
        <v>0</v>
      </c>
      <c r="M89" s="59">
        <f t="shared" si="28"/>
        <v>0</v>
      </c>
      <c r="N89" s="59">
        <f t="shared" si="28"/>
        <v>0</v>
      </c>
      <c r="O89" s="59">
        <f t="shared" si="28"/>
        <v>0</v>
      </c>
      <c r="P89" s="59">
        <f t="shared" si="28"/>
        <v>0</v>
      </c>
      <c r="Q89" s="59">
        <f t="shared" si="28"/>
        <v>0</v>
      </c>
      <c r="R89" s="59">
        <f t="shared" si="28"/>
        <v>0</v>
      </c>
      <c r="S89" s="59">
        <f t="shared" si="28"/>
        <v>0</v>
      </c>
      <c r="T89" s="59">
        <f t="shared" si="28"/>
        <v>0</v>
      </c>
      <c r="U89" s="59">
        <f t="shared" si="28"/>
        <v>0</v>
      </c>
      <c r="V89" s="59">
        <f t="shared" si="28"/>
        <v>0</v>
      </c>
      <c r="W89" s="59">
        <f t="shared" si="28"/>
        <v>0</v>
      </c>
      <c r="X89" s="59">
        <f t="shared" si="28"/>
        <v>0</v>
      </c>
      <c r="Y89" s="59">
        <f t="shared" si="28"/>
        <v>0</v>
      </c>
      <c r="Z89" s="59">
        <f t="shared" si="28"/>
        <v>0</v>
      </c>
      <c r="AA89" s="59">
        <f t="shared" si="28"/>
        <v>0</v>
      </c>
    </row>
    <row r="90" spans="1:27" outlineLevel="1">
      <c r="B90" s="58" t="s">
        <v>115</v>
      </c>
      <c r="C90" s="58"/>
      <c r="D90" s="59">
        <f t="shared" ref="D90:AA90" si="29">D20-D75</f>
        <v>0</v>
      </c>
      <c r="E90" s="59">
        <f t="shared" si="29"/>
        <v>0</v>
      </c>
      <c r="F90" s="59">
        <f t="shared" si="29"/>
        <v>0</v>
      </c>
      <c r="G90" s="59">
        <f t="shared" si="29"/>
        <v>0</v>
      </c>
      <c r="H90" s="59">
        <f t="shared" si="29"/>
        <v>0</v>
      </c>
      <c r="I90" s="59">
        <f t="shared" si="29"/>
        <v>0</v>
      </c>
      <c r="J90" s="59">
        <f t="shared" si="29"/>
        <v>0</v>
      </c>
      <c r="K90" s="59">
        <f t="shared" si="29"/>
        <v>0</v>
      </c>
      <c r="L90" s="59">
        <f t="shared" si="29"/>
        <v>0</v>
      </c>
      <c r="M90" s="59">
        <f t="shared" si="29"/>
        <v>0</v>
      </c>
      <c r="N90" s="59">
        <f t="shared" si="29"/>
        <v>0</v>
      </c>
      <c r="O90" s="59">
        <f t="shared" si="29"/>
        <v>0</v>
      </c>
      <c r="P90" s="59">
        <f t="shared" si="29"/>
        <v>0</v>
      </c>
      <c r="Q90" s="59">
        <f t="shared" si="29"/>
        <v>0</v>
      </c>
      <c r="R90" s="59">
        <f t="shared" si="29"/>
        <v>0</v>
      </c>
      <c r="S90" s="59">
        <f t="shared" si="29"/>
        <v>0</v>
      </c>
      <c r="T90" s="59">
        <f t="shared" si="29"/>
        <v>0</v>
      </c>
      <c r="U90" s="59">
        <f t="shared" si="29"/>
        <v>0</v>
      </c>
      <c r="V90" s="59">
        <f t="shared" si="29"/>
        <v>0</v>
      </c>
      <c r="W90" s="59">
        <f t="shared" si="29"/>
        <v>0</v>
      </c>
      <c r="X90" s="59">
        <f t="shared" si="29"/>
        <v>0</v>
      </c>
      <c r="Y90" s="59">
        <f t="shared" si="29"/>
        <v>0</v>
      </c>
      <c r="Z90" s="59">
        <f t="shared" si="29"/>
        <v>0</v>
      </c>
      <c r="AA90" s="59">
        <f t="shared" si="29"/>
        <v>0</v>
      </c>
    </row>
    <row r="91" spans="1:27" outlineLevel="1">
      <c r="B91" s="43"/>
      <c r="C91" s="43"/>
    </row>
    <row r="92" spans="1:27" outlineLevel="1">
      <c r="B92" s="43"/>
      <c r="C92" s="43"/>
    </row>
    <row r="93" spans="1:27">
      <c r="A93" s="27" t="s">
        <v>38</v>
      </c>
      <c r="B93" s="44" t="s">
        <v>47</v>
      </c>
      <c r="C93" s="44"/>
      <c r="D93" s="35"/>
      <c r="E93" s="35"/>
      <c r="F93" s="35"/>
      <c r="G93" s="35"/>
      <c r="H93" s="35"/>
      <c r="I93" s="35"/>
      <c r="J93" s="35"/>
      <c r="K93" s="35"/>
      <c r="L93" s="35"/>
      <c r="M93" s="35"/>
      <c r="N93" s="35"/>
      <c r="O93" s="35"/>
      <c r="P93" s="35"/>
      <c r="Q93" s="35"/>
      <c r="R93" s="35"/>
      <c r="S93" s="35"/>
      <c r="T93" s="35"/>
      <c r="U93" s="35"/>
      <c r="V93" s="35"/>
      <c r="W93" s="35"/>
      <c r="X93" s="35"/>
      <c r="Y93" s="35"/>
      <c r="Z93" s="35"/>
      <c r="AA93" s="35"/>
    </row>
    <row r="94" spans="1:27" outlineLevel="1"/>
    <row r="95" spans="1:27" s="36" customFormat="1" outlineLevel="1">
      <c r="B95" s="54" t="s">
        <v>108</v>
      </c>
      <c r="C95" s="54"/>
      <c r="D95" s="41"/>
      <c r="E95" s="41"/>
    </row>
    <row r="96" spans="1:27" s="36" customFormat="1" outlineLevel="1">
      <c r="B96" s="110" t="s">
        <v>81</v>
      </c>
      <c r="D96" s="102">
        <f t="shared" ref="D96:AA96" ca="1" si="30">D28</f>
        <v>-613.33705762494446</v>
      </c>
      <c r="E96" s="102">
        <f t="shared" ca="1" si="30"/>
        <v>-641.23693924555164</v>
      </c>
      <c r="F96" s="102">
        <f t="shared" ca="1" si="30"/>
        <v>-661.13501576150031</v>
      </c>
      <c r="G96" s="102">
        <f t="shared" ca="1" si="30"/>
        <v>-683.03127812464663</v>
      </c>
      <c r="H96" s="102">
        <f t="shared" ca="1" si="30"/>
        <v>-704.92571724149298</v>
      </c>
      <c r="I96" s="102">
        <f t="shared" ca="1" si="30"/>
        <v>-726.81832397296</v>
      </c>
      <c r="J96" s="102">
        <f t="shared" ca="1" si="30"/>
        <v>-748.70908913415883</v>
      </c>
      <c r="K96" s="102">
        <f t="shared" ca="1" si="30"/>
        <v>-770.59800349416059</v>
      </c>
      <c r="L96" s="102">
        <f t="shared" ca="1" si="30"/>
        <v>-794.48505777576634</v>
      </c>
      <c r="M96" s="102">
        <f t="shared" ca="1" si="30"/>
        <v>-816.37024265527486</v>
      </c>
      <c r="N96" s="102">
        <f t="shared" ca="1" si="30"/>
        <v>-840.25354876224969</v>
      </c>
      <c r="O96" s="102">
        <f t="shared" ca="1" si="30"/>
        <v>-880.61496667928441</v>
      </c>
      <c r="P96" s="102">
        <f t="shared" ca="1" si="30"/>
        <v>-998.98448694176841</v>
      </c>
      <c r="Q96" s="102">
        <f t="shared" ca="1" si="30"/>
        <v>-1039.5221000376478</v>
      </c>
      <c r="R96" s="102">
        <f t="shared" ca="1" si="30"/>
        <v>-1084.0577964071908</v>
      </c>
      <c r="S96" s="102">
        <f t="shared" ca="1" si="30"/>
        <v>-1126.5915664427464</v>
      </c>
      <c r="T96" s="102">
        <f t="shared" ca="1" si="30"/>
        <v>-1171.1234004885057</v>
      </c>
      <c r="U96" s="102">
        <f t="shared" ca="1" si="30"/>
        <v>-1215.6532888402587</v>
      </c>
      <c r="V96" s="102">
        <f t="shared" ca="1" si="30"/>
        <v>-1260.1812217451532</v>
      </c>
      <c r="W96" s="102">
        <f t="shared" ca="1" si="30"/>
        <v>-1300.7071894014507</v>
      </c>
      <c r="X96" s="102">
        <f t="shared" ca="1" si="30"/>
        <v>-1331.231181958281</v>
      </c>
      <c r="Y96" s="102">
        <f t="shared" ca="1" si="30"/>
        <v>-1359.7531895153959</v>
      </c>
      <c r="Z96" s="102">
        <f t="shared" ca="1" si="30"/>
        <v>-1384.2132021229229</v>
      </c>
      <c r="AA96" s="102">
        <f t="shared" ca="1" si="30"/>
        <v>-1408.6712097811139</v>
      </c>
    </row>
    <row r="97" spans="2:27" s="36" customFormat="1" outlineLevel="1">
      <c r="B97" s="110" t="s">
        <v>45</v>
      </c>
      <c r="D97" s="102">
        <f>-D23</f>
        <v>41.666666666666664</v>
      </c>
      <c r="E97" s="102">
        <f>-E23</f>
        <v>41.666666666666664</v>
      </c>
      <c r="F97" s="102">
        <f t="shared" ref="F97:AA97" si="31">-F23</f>
        <v>41.666666666666664</v>
      </c>
      <c r="G97" s="102">
        <f t="shared" si="31"/>
        <v>41.666666666666664</v>
      </c>
      <c r="H97" s="102">
        <f t="shared" si="31"/>
        <v>41.666666666666664</v>
      </c>
      <c r="I97" s="102">
        <f t="shared" si="31"/>
        <v>41.666666666666664</v>
      </c>
      <c r="J97" s="102">
        <f t="shared" si="31"/>
        <v>41.666666666666664</v>
      </c>
      <c r="K97" s="102">
        <f t="shared" si="31"/>
        <v>41.666666666666664</v>
      </c>
      <c r="L97" s="102">
        <f t="shared" si="31"/>
        <v>41.666666666666664</v>
      </c>
      <c r="M97" s="102">
        <f t="shared" si="31"/>
        <v>41.666666666666664</v>
      </c>
      <c r="N97" s="102">
        <f t="shared" si="31"/>
        <v>41.666666666666664</v>
      </c>
      <c r="O97" s="102">
        <f t="shared" si="31"/>
        <v>41.666666666666664</v>
      </c>
      <c r="P97" s="102">
        <f t="shared" si="31"/>
        <v>41.666666666666664</v>
      </c>
      <c r="Q97" s="102">
        <f t="shared" si="31"/>
        <v>41.666666666666664</v>
      </c>
      <c r="R97" s="102">
        <f t="shared" si="31"/>
        <v>41.666666666666664</v>
      </c>
      <c r="S97" s="102">
        <f t="shared" si="31"/>
        <v>41.666666666666664</v>
      </c>
      <c r="T97" s="102">
        <f t="shared" si="31"/>
        <v>41.666666666666664</v>
      </c>
      <c r="U97" s="102">
        <f t="shared" si="31"/>
        <v>41.666666666666664</v>
      </c>
      <c r="V97" s="102">
        <f t="shared" si="31"/>
        <v>41.666666666666664</v>
      </c>
      <c r="W97" s="102">
        <f t="shared" si="31"/>
        <v>41.666666666666664</v>
      </c>
      <c r="X97" s="102">
        <f t="shared" si="31"/>
        <v>41.666666666666664</v>
      </c>
      <c r="Y97" s="102">
        <f t="shared" si="31"/>
        <v>41.666666666666664</v>
      </c>
      <c r="Z97" s="102">
        <f t="shared" si="31"/>
        <v>41.666666666666664</v>
      </c>
      <c r="AA97" s="102">
        <f t="shared" si="31"/>
        <v>41.666666666666664</v>
      </c>
    </row>
    <row r="98" spans="2:27" s="36" customFormat="1" outlineLevel="1">
      <c r="B98" s="142" t="s">
        <v>132</v>
      </c>
      <c r="C98" s="48"/>
      <c r="D98" s="102">
        <f>D224</f>
        <v>-40.212328767123289</v>
      </c>
      <c r="E98" s="126">
        <f t="shared" ref="E98:AA100" si="32">E224</f>
        <v>-0.84657534246574784</v>
      </c>
      <c r="F98" s="126">
        <f t="shared" si="32"/>
        <v>-0.84657534246575494</v>
      </c>
      <c r="G98" s="126">
        <f t="shared" si="32"/>
        <v>-0.84657534246575494</v>
      </c>
      <c r="H98" s="126">
        <f t="shared" si="32"/>
        <v>-0.84657534246575494</v>
      </c>
      <c r="I98" s="126">
        <f t="shared" si="32"/>
        <v>-0.84657534246574784</v>
      </c>
      <c r="J98" s="126">
        <f t="shared" si="32"/>
        <v>-0.84657534246576205</v>
      </c>
      <c r="K98" s="126">
        <f t="shared" si="32"/>
        <v>-0.84657534246574784</v>
      </c>
      <c r="L98" s="126">
        <f t="shared" si="32"/>
        <v>-0.84657534246575494</v>
      </c>
      <c r="M98" s="126">
        <f t="shared" si="32"/>
        <v>-0.84657534246575494</v>
      </c>
      <c r="N98" s="126">
        <f t="shared" si="32"/>
        <v>-0.84657534246574784</v>
      </c>
      <c r="O98" s="126">
        <f t="shared" si="32"/>
        <v>0.84657534246574784</v>
      </c>
      <c r="P98" s="126">
        <f t="shared" si="32"/>
        <v>1.5308219178082254</v>
      </c>
      <c r="Q98" s="126">
        <f t="shared" si="32"/>
        <v>0.83424657534246904</v>
      </c>
      <c r="R98" s="126">
        <f t="shared" si="32"/>
        <v>0.83424657534246194</v>
      </c>
      <c r="S98" s="126">
        <f t="shared" si="32"/>
        <v>0.83424657534246194</v>
      </c>
      <c r="T98" s="126">
        <f t="shared" si="32"/>
        <v>0.83424657534247615</v>
      </c>
      <c r="U98" s="126">
        <f t="shared" si="32"/>
        <v>0.83424657534246194</v>
      </c>
      <c r="V98" s="126">
        <f t="shared" si="32"/>
        <v>0.83424657534246194</v>
      </c>
      <c r="W98" s="126">
        <f t="shared" si="32"/>
        <v>0.83424657534246904</v>
      </c>
      <c r="X98" s="126">
        <f t="shared" si="32"/>
        <v>0.83424657534246194</v>
      </c>
      <c r="Y98" s="126">
        <f t="shared" si="32"/>
        <v>0.83424657534246904</v>
      </c>
      <c r="Z98" s="126">
        <f t="shared" si="32"/>
        <v>0.41712328767123097</v>
      </c>
      <c r="AA98" s="126">
        <f t="shared" si="32"/>
        <v>0.41712328767123807</v>
      </c>
    </row>
    <row r="99" spans="2:27" s="36" customFormat="1" outlineLevel="1">
      <c r="B99" s="142" t="s">
        <v>133</v>
      </c>
      <c r="C99" s="48"/>
      <c r="D99" s="102">
        <f t="shared" ref="D99:S100" si="33">D225</f>
        <v>16.084931506849315</v>
      </c>
      <c r="E99" s="126">
        <f t="shared" si="33"/>
        <v>0.33863013698629985</v>
      </c>
      <c r="F99" s="126">
        <f t="shared" si="33"/>
        <v>0.3386301369863034</v>
      </c>
      <c r="G99" s="126">
        <f t="shared" si="33"/>
        <v>0.33863013698629985</v>
      </c>
      <c r="H99" s="126">
        <f t="shared" si="33"/>
        <v>0.3386301369863034</v>
      </c>
      <c r="I99" s="126">
        <f t="shared" si="33"/>
        <v>0.33863013698629985</v>
      </c>
      <c r="J99" s="126">
        <f t="shared" si="33"/>
        <v>0.3386301369863034</v>
      </c>
      <c r="K99" s="126">
        <f t="shared" si="33"/>
        <v>0.33863013698629985</v>
      </c>
      <c r="L99" s="126">
        <f t="shared" si="33"/>
        <v>0.33863013698629629</v>
      </c>
      <c r="M99" s="126">
        <f t="shared" si="33"/>
        <v>0.33863013698630695</v>
      </c>
      <c r="N99" s="126">
        <f t="shared" si="33"/>
        <v>0.33863013698629629</v>
      </c>
      <c r="O99" s="126">
        <f t="shared" si="33"/>
        <v>-0.33863013698629629</v>
      </c>
      <c r="P99" s="126">
        <f t="shared" si="33"/>
        <v>-0.61232876712329087</v>
      </c>
      <c r="Q99" s="126">
        <f t="shared" si="33"/>
        <v>-0.3336986301369862</v>
      </c>
      <c r="R99" s="126">
        <f t="shared" si="33"/>
        <v>-0.3336986301369862</v>
      </c>
      <c r="S99" s="126">
        <f t="shared" si="33"/>
        <v>-0.3336986301369862</v>
      </c>
      <c r="T99" s="126">
        <f t="shared" si="32"/>
        <v>-0.33369863013698975</v>
      </c>
      <c r="U99" s="126">
        <f t="shared" si="32"/>
        <v>-0.33369863013698264</v>
      </c>
      <c r="V99" s="126">
        <f t="shared" si="32"/>
        <v>-0.3336986301369862</v>
      </c>
      <c r="W99" s="126">
        <f t="shared" si="32"/>
        <v>-0.33369863013698975</v>
      </c>
      <c r="X99" s="126">
        <f t="shared" si="32"/>
        <v>-0.33369863013698264</v>
      </c>
      <c r="Y99" s="126">
        <f t="shared" si="32"/>
        <v>-0.33369863013698797</v>
      </c>
      <c r="Z99" s="126">
        <f t="shared" si="32"/>
        <v>-0.16684931506849132</v>
      </c>
      <c r="AA99" s="126">
        <f t="shared" si="32"/>
        <v>-0.16684931506849487</v>
      </c>
    </row>
    <row r="100" spans="2:27" s="36" customFormat="1" outlineLevel="1">
      <c r="B100" s="142" t="s">
        <v>134</v>
      </c>
      <c r="C100" s="48"/>
      <c r="D100" s="102">
        <f t="shared" si="33"/>
        <v>-32.169863013698631</v>
      </c>
      <c r="E100" s="126">
        <f t="shared" si="32"/>
        <v>-0.67726027397259969</v>
      </c>
      <c r="F100" s="126">
        <f t="shared" si="32"/>
        <v>-0.6772602739726068</v>
      </c>
      <c r="G100" s="126">
        <f t="shared" si="32"/>
        <v>-0.67726027397259969</v>
      </c>
      <c r="H100" s="126">
        <f t="shared" si="32"/>
        <v>-0.6772602739726068</v>
      </c>
      <c r="I100" s="126">
        <f t="shared" si="32"/>
        <v>-0.67726027397259969</v>
      </c>
      <c r="J100" s="126">
        <f t="shared" si="32"/>
        <v>-0.6772602739726068</v>
      </c>
      <c r="K100" s="126">
        <f t="shared" si="32"/>
        <v>-0.67726027397259969</v>
      </c>
      <c r="L100" s="126">
        <f t="shared" si="32"/>
        <v>-0.67726027397259259</v>
      </c>
      <c r="M100" s="126">
        <f t="shared" si="32"/>
        <v>-0.6772602739726139</v>
      </c>
      <c r="N100" s="126">
        <f t="shared" si="32"/>
        <v>-0.67726027397259259</v>
      </c>
      <c r="O100" s="144">
        <f t="shared" si="32"/>
        <v>0.67726027397259259</v>
      </c>
      <c r="P100" s="126">
        <f t="shared" si="32"/>
        <v>1.2246575342465817</v>
      </c>
      <c r="Q100" s="126">
        <f t="shared" si="32"/>
        <v>0.66739726027397239</v>
      </c>
      <c r="R100" s="126">
        <f t="shared" si="32"/>
        <v>0.66739726027397239</v>
      </c>
      <c r="S100" s="126">
        <f t="shared" si="32"/>
        <v>0.66739726027397239</v>
      </c>
      <c r="T100" s="126">
        <f t="shared" si="32"/>
        <v>0.6673972602739795</v>
      </c>
      <c r="U100" s="126">
        <f t="shared" si="32"/>
        <v>0.66739726027396529</v>
      </c>
      <c r="V100" s="126">
        <f t="shared" si="32"/>
        <v>0.66739726027397239</v>
      </c>
      <c r="W100" s="126">
        <f t="shared" si="32"/>
        <v>0.6673972602739795</v>
      </c>
      <c r="X100" s="126">
        <f t="shared" si="32"/>
        <v>0.66739726027396529</v>
      </c>
      <c r="Y100" s="126">
        <f t="shared" si="32"/>
        <v>0.66739726027397595</v>
      </c>
      <c r="Z100" s="126">
        <f t="shared" si="32"/>
        <v>0.33369863013698264</v>
      </c>
      <c r="AA100" s="126">
        <f t="shared" si="32"/>
        <v>0.33369863013698975</v>
      </c>
    </row>
    <row r="101" spans="2:27" s="36" customFormat="1" outlineLevel="1">
      <c r="B101" s="36" t="s">
        <v>131</v>
      </c>
      <c r="C101" s="48"/>
      <c r="D101" s="143">
        <f t="shared" ref="D101:AA101" ca="1" si="34">SUM(D96:D100)</f>
        <v>-627.96765123225043</v>
      </c>
      <c r="E101" s="143">
        <f t="shared" ca="1" si="34"/>
        <v>-600.75547805833696</v>
      </c>
      <c r="F101" s="143">
        <f t="shared" ca="1" si="34"/>
        <v>-620.65355457428564</v>
      </c>
      <c r="G101" s="143">
        <f t="shared" ca="1" si="34"/>
        <v>-642.54981693743196</v>
      </c>
      <c r="H101" s="143">
        <f t="shared" ca="1" si="34"/>
        <v>-664.4442560542783</v>
      </c>
      <c r="I101" s="143">
        <f t="shared" ca="1" si="34"/>
        <v>-686.33686278574532</v>
      </c>
      <c r="J101" s="143">
        <f t="shared" ca="1" si="34"/>
        <v>-708.22762794694415</v>
      </c>
      <c r="K101" s="143">
        <f t="shared" ca="1" si="34"/>
        <v>-730.11654230694592</v>
      </c>
      <c r="L101" s="143">
        <f t="shared" ca="1" si="34"/>
        <v>-754.00359658855166</v>
      </c>
      <c r="M101" s="143">
        <f t="shared" ca="1" si="34"/>
        <v>-775.88878146806019</v>
      </c>
      <c r="N101" s="143">
        <f t="shared" ca="1" si="34"/>
        <v>-799.77208757503502</v>
      </c>
      <c r="O101" s="143">
        <f t="shared" ca="1" si="34"/>
        <v>-837.76309453316583</v>
      </c>
      <c r="P101" s="143">
        <f t="shared" ca="1" si="34"/>
        <v>-955.1746695901702</v>
      </c>
      <c r="Q101" s="143">
        <f t="shared" ca="1" si="34"/>
        <v>-996.68748816550158</v>
      </c>
      <c r="R101" s="143">
        <f t="shared" ca="1" si="34"/>
        <v>-1041.2231845350448</v>
      </c>
      <c r="S101" s="143">
        <f t="shared" ca="1" si="34"/>
        <v>-1083.7569545706003</v>
      </c>
      <c r="T101" s="143">
        <f t="shared" ca="1" si="34"/>
        <v>-1128.2887886163596</v>
      </c>
      <c r="U101" s="143">
        <f t="shared" ca="1" si="34"/>
        <v>-1172.8186769681126</v>
      </c>
      <c r="V101" s="143">
        <f t="shared" ca="1" si="34"/>
        <v>-1217.3466098730071</v>
      </c>
      <c r="W101" s="143">
        <f t="shared" ca="1" si="34"/>
        <v>-1257.8725775293046</v>
      </c>
      <c r="X101" s="143">
        <f t="shared" ca="1" si="34"/>
        <v>-1288.3965700861349</v>
      </c>
      <c r="Y101" s="143">
        <f t="shared" ca="1" si="34"/>
        <v>-1316.9185776432498</v>
      </c>
      <c r="Z101" s="143">
        <f t="shared" ca="1" si="34"/>
        <v>-1341.9625628535164</v>
      </c>
      <c r="AA101" s="143">
        <f t="shared" ca="1" si="34"/>
        <v>-1366.4205705117074</v>
      </c>
    </row>
    <row r="102" spans="2:27" s="36" customFormat="1" outlineLevel="1"/>
    <row r="103" spans="2:27" s="36" customFormat="1" outlineLevel="1">
      <c r="B103" s="54" t="s">
        <v>109</v>
      </c>
    </row>
    <row r="104" spans="2:27" s="36" customFormat="1" outlineLevel="1">
      <c r="B104" s="110" t="s">
        <v>112</v>
      </c>
      <c r="D104" s="102">
        <f>-(D$14*Inputs!$C$46)</f>
        <v>-48.925000000000004</v>
      </c>
      <c r="E104" s="102">
        <f>-(E$14*Inputs!$C$46)</f>
        <v>-49.955000000000005</v>
      </c>
      <c r="F104" s="102">
        <f>-(F$14*Inputs!$C$46)</f>
        <v>-50.985000000000007</v>
      </c>
      <c r="G104" s="102">
        <f>-(G$14*Inputs!$C$46)</f>
        <v>-52.015000000000001</v>
      </c>
      <c r="H104" s="102">
        <f>-(H$14*Inputs!$C$46)</f>
        <v>-53.045000000000009</v>
      </c>
      <c r="I104" s="102">
        <f>-(I$14*Inputs!$C$46)</f>
        <v>-54.075000000000003</v>
      </c>
      <c r="J104" s="102">
        <f>-(J$14*Inputs!$C$46)</f>
        <v>-55.105000000000011</v>
      </c>
      <c r="K104" s="102">
        <f>-(K$14*Inputs!$C$46)</f>
        <v>-56.135000000000005</v>
      </c>
      <c r="L104" s="102">
        <f>-(L$14*Inputs!$C$46)</f>
        <v>-57.164999999999999</v>
      </c>
      <c r="M104" s="102">
        <f>-(M$14*Inputs!$C$46)</f>
        <v>-58.195000000000007</v>
      </c>
      <c r="N104" s="102">
        <f>-(N$14*Inputs!$C$46)</f>
        <v>-59.225000000000001</v>
      </c>
      <c r="O104" s="102">
        <f>-(O$14*Inputs!$C$46)</f>
        <v>-58.195000000000007</v>
      </c>
      <c r="P104" s="102">
        <f>-(P$14*Inputs!$C$46)</f>
        <v>-56.332499999999996</v>
      </c>
      <c r="Q104" s="102">
        <f>-(Q$14*Inputs!$C$46)</f>
        <v>-55.317499999999995</v>
      </c>
      <c r="R104" s="102">
        <f>-(R$14*Inputs!$C$46)</f>
        <v>-54.302500000000002</v>
      </c>
      <c r="S104" s="102">
        <f>-(S$14*Inputs!$C$46)</f>
        <v>-53.287500000000001</v>
      </c>
      <c r="T104" s="102">
        <f>-(T$14*Inputs!$C$46)</f>
        <v>-52.272499999999994</v>
      </c>
      <c r="U104" s="102">
        <f>-(U$14*Inputs!$C$46)</f>
        <v>-51.257499999999993</v>
      </c>
      <c r="V104" s="102">
        <f>-(V$14*Inputs!$C$46)</f>
        <v>-50.2425</v>
      </c>
      <c r="W104" s="102">
        <f>-(W$14*Inputs!$C$46)</f>
        <v>-49.227499999999999</v>
      </c>
      <c r="X104" s="102">
        <f>-(X$14*Inputs!$C$46)</f>
        <v>-48.212499999999999</v>
      </c>
      <c r="Y104" s="102">
        <f>-(Y$14*Inputs!$C$46)</f>
        <v>-47.197499999999998</v>
      </c>
      <c r="Z104" s="102">
        <f>-(Z$14*Inputs!$C$46)</f>
        <v>-46.69</v>
      </c>
      <c r="AA104" s="102">
        <f>-(AA$14*Inputs!$C$46)</f>
        <v>-46.182499999999997</v>
      </c>
    </row>
    <row r="105" spans="2:27" s="36" customFormat="1" outlineLevel="1">
      <c r="B105" s="36" t="s">
        <v>131</v>
      </c>
      <c r="D105" s="143">
        <f>D104</f>
        <v>-48.925000000000004</v>
      </c>
      <c r="E105" s="143">
        <f t="shared" ref="E105:AA105" si="35">E104</f>
        <v>-49.955000000000005</v>
      </c>
      <c r="F105" s="143">
        <f t="shared" si="35"/>
        <v>-50.985000000000007</v>
      </c>
      <c r="G105" s="143">
        <f t="shared" si="35"/>
        <v>-52.015000000000001</v>
      </c>
      <c r="H105" s="143">
        <f t="shared" si="35"/>
        <v>-53.045000000000009</v>
      </c>
      <c r="I105" s="143">
        <f t="shared" si="35"/>
        <v>-54.075000000000003</v>
      </c>
      <c r="J105" s="143">
        <f t="shared" si="35"/>
        <v>-55.105000000000011</v>
      </c>
      <c r="K105" s="143">
        <f t="shared" si="35"/>
        <v>-56.135000000000005</v>
      </c>
      <c r="L105" s="143">
        <f t="shared" si="35"/>
        <v>-57.164999999999999</v>
      </c>
      <c r="M105" s="143">
        <f t="shared" si="35"/>
        <v>-58.195000000000007</v>
      </c>
      <c r="N105" s="143">
        <f t="shared" si="35"/>
        <v>-59.225000000000001</v>
      </c>
      <c r="O105" s="143">
        <f t="shared" si="35"/>
        <v>-58.195000000000007</v>
      </c>
      <c r="P105" s="143">
        <f t="shared" si="35"/>
        <v>-56.332499999999996</v>
      </c>
      <c r="Q105" s="143">
        <f t="shared" si="35"/>
        <v>-55.317499999999995</v>
      </c>
      <c r="R105" s="143">
        <f t="shared" si="35"/>
        <v>-54.302500000000002</v>
      </c>
      <c r="S105" s="143">
        <f t="shared" si="35"/>
        <v>-53.287500000000001</v>
      </c>
      <c r="T105" s="143">
        <f t="shared" si="35"/>
        <v>-52.272499999999994</v>
      </c>
      <c r="U105" s="143">
        <f t="shared" si="35"/>
        <v>-51.257499999999993</v>
      </c>
      <c r="V105" s="143">
        <f t="shared" si="35"/>
        <v>-50.2425</v>
      </c>
      <c r="W105" s="143">
        <f t="shared" si="35"/>
        <v>-49.227499999999999</v>
      </c>
      <c r="X105" s="143">
        <f t="shared" si="35"/>
        <v>-48.212499999999999</v>
      </c>
      <c r="Y105" s="143">
        <f t="shared" si="35"/>
        <v>-47.197499999999998</v>
      </c>
      <c r="Z105" s="143">
        <f t="shared" si="35"/>
        <v>-46.69</v>
      </c>
      <c r="AA105" s="143">
        <f t="shared" si="35"/>
        <v>-46.182499999999997</v>
      </c>
    </row>
    <row r="106" spans="2:27" s="36" customFormat="1" outlineLevel="1">
      <c r="B106" s="110"/>
    </row>
    <row r="107" spans="2:27" s="36" customFormat="1" outlineLevel="1">
      <c r="B107" s="110" t="s">
        <v>100</v>
      </c>
      <c r="D107" s="143">
        <f ca="1">D101+D105</f>
        <v>-676.89265123225039</v>
      </c>
      <c r="E107" s="143">
        <f t="shared" ref="E107:AA107" ca="1" si="36">E101+E105</f>
        <v>-650.710478058337</v>
      </c>
      <c r="F107" s="143">
        <f t="shared" ca="1" si="36"/>
        <v>-671.63855457428565</v>
      </c>
      <c r="G107" s="143">
        <f t="shared" ca="1" si="36"/>
        <v>-694.56481693743194</v>
      </c>
      <c r="H107" s="143">
        <f t="shared" ca="1" si="36"/>
        <v>-717.48925605427826</v>
      </c>
      <c r="I107" s="143">
        <f t="shared" ca="1" si="36"/>
        <v>-740.41186278574537</v>
      </c>
      <c r="J107" s="143">
        <f t="shared" ca="1" si="36"/>
        <v>-763.33262794694417</v>
      </c>
      <c r="K107" s="143">
        <f t="shared" ca="1" si="36"/>
        <v>-786.25154230694591</v>
      </c>
      <c r="L107" s="143">
        <f t="shared" ca="1" si="36"/>
        <v>-811.16859658855162</v>
      </c>
      <c r="M107" s="143">
        <f t="shared" ca="1" si="36"/>
        <v>-834.08378146806024</v>
      </c>
      <c r="N107" s="143">
        <f t="shared" ca="1" si="36"/>
        <v>-858.99708757503504</v>
      </c>
      <c r="O107" s="143">
        <f t="shared" ca="1" si="36"/>
        <v>-895.95809453316588</v>
      </c>
      <c r="P107" s="143">
        <f t="shared" ca="1" si="36"/>
        <v>-1011.5071695901702</v>
      </c>
      <c r="Q107" s="143">
        <f t="shared" ca="1" si="36"/>
        <v>-1052.0049881655016</v>
      </c>
      <c r="R107" s="143">
        <f t="shared" ca="1" si="36"/>
        <v>-1095.5256845350448</v>
      </c>
      <c r="S107" s="143">
        <f t="shared" ca="1" si="36"/>
        <v>-1137.0444545706002</v>
      </c>
      <c r="T107" s="143">
        <f t="shared" ca="1" si="36"/>
        <v>-1180.5612886163597</v>
      </c>
      <c r="U107" s="143">
        <f t="shared" ca="1" si="36"/>
        <v>-1224.0761769681126</v>
      </c>
      <c r="V107" s="143">
        <f t="shared" ca="1" si="36"/>
        <v>-1267.5891098730071</v>
      </c>
      <c r="W107" s="143">
        <f t="shared" ca="1" si="36"/>
        <v>-1307.1000775293046</v>
      </c>
      <c r="X107" s="143">
        <f t="shared" ca="1" si="36"/>
        <v>-1336.609070086135</v>
      </c>
      <c r="Y107" s="143">
        <f t="shared" ca="1" si="36"/>
        <v>-1364.1160776432498</v>
      </c>
      <c r="Z107" s="143">
        <f t="shared" ca="1" si="36"/>
        <v>-1388.6525628535164</v>
      </c>
      <c r="AA107" s="143">
        <f t="shared" ca="1" si="36"/>
        <v>-1412.6030705117073</v>
      </c>
    </row>
    <row r="108" spans="2:27" s="36" customFormat="1" outlineLevel="1">
      <c r="B108" s="110"/>
    </row>
    <row r="109" spans="2:27" s="36" customFormat="1" outlineLevel="1">
      <c r="B109" s="54" t="s">
        <v>110</v>
      </c>
      <c r="C109" s="54"/>
      <c r="D109" s="41"/>
      <c r="E109" s="41"/>
    </row>
    <row r="110" spans="2:27" s="36" customFormat="1" outlineLevel="1">
      <c r="B110" s="110" t="s">
        <v>128</v>
      </c>
      <c r="C110" s="148"/>
      <c r="D110" s="102">
        <f ca="1">D172</f>
        <v>-71.843616688861715</v>
      </c>
      <c r="E110" s="102">
        <f ca="1">E172</f>
        <v>-72.203735068254517</v>
      </c>
      <c r="F110" s="102">
        <f t="shared" ref="F110:AA110" ca="1" si="37">F172</f>
        <v>-72.565658552305905</v>
      </c>
      <c r="G110" s="102">
        <f t="shared" ca="1" si="37"/>
        <v>-72.929396189159576</v>
      </c>
      <c r="H110" s="102">
        <f t="shared" ca="1" si="37"/>
        <v>-73.294957072313267</v>
      </c>
      <c r="I110" s="102">
        <f t="shared" ca="1" si="37"/>
        <v>-73.66235034084616</v>
      </c>
      <c r="J110" s="102">
        <f t="shared" ca="1" si="37"/>
        <v>-74.031585179647394</v>
      </c>
      <c r="K110" s="102">
        <f t="shared" ca="1" si="37"/>
        <v>-74.402670819645635</v>
      </c>
      <c r="L110" s="102">
        <f t="shared" ca="1" si="37"/>
        <v>-74.775616538039841</v>
      </c>
      <c r="M110" s="102">
        <f t="shared" ca="1" si="37"/>
        <v>-75.150431658531275</v>
      </c>
      <c r="N110" s="102">
        <f t="shared" ca="1" si="37"/>
        <v>-75.52712555155648</v>
      </c>
      <c r="O110" s="102">
        <f t="shared" ca="1" si="37"/>
        <v>-75.90570763452169</v>
      </c>
      <c r="P110" s="102">
        <f t="shared" ca="1" si="37"/>
        <v>-76.286187372038086</v>
      </c>
      <c r="Q110" s="102">
        <f t="shared" ca="1" si="37"/>
        <v>-76.66857427615858</v>
      </c>
      <c r="R110" s="102">
        <f t="shared" ca="1" si="37"/>
        <v>-77.052877906615507</v>
      </c>
      <c r="S110" s="102">
        <f t="shared" ca="1" si="37"/>
        <v>-77.43910787105969</v>
      </c>
      <c r="T110" s="102">
        <f t="shared" ca="1" si="37"/>
        <v>-77.827273825300594</v>
      </c>
      <c r="U110" s="102">
        <f t="shared" ca="1" si="37"/>
        <v>-78.217385473547722</v>
      </c>
      <c r="V110" s="102">
        <f t="shared" ca="1" si="37"/>
        <v>-78.609452568653211</v>
      </c>
      <c r="W110" s="102">
        <f t="shared" ca="1" si="37"/>
        <v>-79.003484912355745</v>
      </c>
      <c r="X110" s="102">
        <f t="shared" ca="1" si="37"/>
        <v>-79.399492355525439</v>
      </c>
      <c r="Y110" s="102">
        <f t="shared" ca="1" si="37"/>
        <v>-79.797484798410281</v>
      </c>
      <c r="Z110" s="102">
        <f t="shared" ca="1" si="37"/>
        <v>-80.197472190883516</v>
      </c>
      <c r="AA110" s="102">
        <f t="shared" ca="1" si="37"/>
        <v>-80.599464532692451</v>
      </c>
    </row>
    <row r="111" spans="2:27" s="36" customFormat="1" outlineLevel="1">
      <c r="B111" s="110" t="s">
        <v>164</v>
      </c>
      <c r="C111" s="105"/>
      <c r="D111" s="102">
        <f ca="1">D200</f>
        <v>1748.7362679211119</v>
      </c>
      <c r="E111" s="102">
        <f t="shared" ref="E111:AA111" ca="1" si="38">E200</f>
        <v>722.91421312659168</v>
      </c>
      <c r="F111" s="102">
        <f t="shared" ca="1" si="38"/>
        <v>744.20421312659164</v>
      </c>
      <c r="G111" s="102">
        <f t="shared" ca="1" si="38"/>
        <v>767.4942131265916</v>
      </c>
      <c r="H111" s="102">
        <f t="shared" ca="1" si="38"/>
        <v>790.78421312659168</v>
      </c>
      <c r="I111" s="102">
        <f t="shared" ca="1" si="38"/>
        <v>814.07421312659153</v>
      </c>
      <c r="J111" s="102">
        <f t="shared" ca="1" si="38"/>
        <v>837.36421312659172</v>
      </c>
      <c r="K111" s="102">
        <f t="shared" ca="1" si="38"/>
        <v>860.65421312659169</v>
      </c>
      <c r="L111" s="102">
        <f t="shared" ca="1" si="38"/>
        <v>885.94421312659165</v>
      </c>
      <c r="M111" s="102">
        <f t="shared" ca="1" si="38"/>
        <v>909.23421312659161</v>
      </c>
      <c r="N111" s="102">
        <f t="shared" ca="1" si="38"/>
        <v>934.52421312659158</v>
      </c>
      <c r="O111" s="102">
        <f t="shared" ca="1" si="38"/>
        <v>971.8638021676876</v>
      </c>
      <c r="P111" s="102">
        <f t="shared" ca="1" si="38"/>
        <v>1087.7933569622082</v>
      </c>
      <c r="Q111" s="102">
        <f t="shared" ca="1" si="38"/>
        <v>1128.6735624416601</v>
      </c>
      <c r="R111" s="102">
        <f t="shared" ca="1" si="38"/>
        <v>1172.5785624416603</v>
      </c>
      <c r="S111" s="102">
        <f t="shared" ca="1" si="38"/>
        <v>1214.4835624416601</v>
      </c>
      <c r="T111" s="102">
        <f t="shared" ca="1" si="38"/>
        <v>1258.3885624416603</v>
      </c>
      <c r="U111" s="102">
        <f t="shared" ca="1" si="38"/>
        <v>1302.2935624416605</v>
      </c>
      <c r="V111" s="102">
        <f t="shared" ca="1" si="38"/>
        <v>1346.1985624416602</v>
      </c>
      <c r="W111" s="102">
        <f t="shared" ca="1" si="38"/>
        <v>501.79806703311624</v>
      </c>
      <c r="X111" s="102">
        <f t="shared" ca="1" si="38"/>
        <v>0</v>
      </c>
      <c r="Y111" s="102">
        <f t="shared" ca="1" si="38"/>
        <v>0</v>
      </c>
      <c r="Z111" s="102">
        <f t="shared" ca="1" si="38"/>
        <v>0</v>
      </c>
      <c r="AA111" s="102">
        <f t="shared" ca="1" si="38"/>
        <v>0</v>
      </c>
    </row>
    <row r="112" spans="2:27" s="36" customFormat="1" outlineLevel="1">
      <c r="B112" s="36" t="s">
        <v>131</v>
      </c>
      <c r="C112" s="48"/>
      <c r="D112" s="143">
        <f t="shared" ref="D112:AA112" ca="1" si="39">SUM(D110:D111)</f>
        <v>1676.8926512322503</v>
      </c>
      <c r="E112" s="143">
        <f t="shared" ca="1" si="39"/>
        <v>650.71047805833712</v>
      </c>
      <c r="F112" s="143">
        <f t="shared" ca="1" si="39"/>
        <v>671.63855457428576</v>
      </c>
      <c r="G112" s="143">
        <f t="shared" ca="1" si="39"/>
        <v>694.56481693743206</v>
      </c>
      <c r="H112" s="143">
        <f t="shared" ca="1" si="39"/>
        <v>717.48925605427837</v>
      </c>
      <c r="I112" s="143">
        <f t="shared" ca="1" si="39"/>
        <v>740.41186278574537</v>
      </c>
      <c r="J112" s="143">
        <f t="shared" ca="1" si="39"/>
        <v>763.33262794694429</v>
      </c>
      <c r="K112" s="143">
        <f t="shared" ca="1" si="39"/>
        <v>786.25154230694602</v>
      </c>
      <c r="L112" s="143">
        <f t="shared" ca="1" si="39"/>
        <v>811.16859658855185</v>
      </c>
      <c r="M112" s="143">
        <f t="shared" ca="1" si="39"/>
        <v>834.08378146806035</v>
      </c>
      <c r="N112" s="143">
        <f t="shared" ca="1" si="39"/>
        <v>858.99708757503504</v>
      </c>
      <c r="O112" s="143">
        <f t="shared" ca="1" si="39"/>
        <v>895.95809453316588</v>
      </c>
      <c r="P112" s="143">
        <f t="shared" ca="1" si="39"/>
        <v>1011.5071695901702</v>
      </c>
      <c r="Q112" s="143">
        <f t="shared" ca="1" si="39"/>
        <v>1052.0049881655016</v>
      </c>
      <c r="R112" s="143">
        <f t="shared" ca="1" si="39"/>
        <v>1095.5256845350448</v>
      </c>
      <c r="S112" s="143">
        <f t="shared" ca="1" si="39"/>
        <v>1137.0444545706005</v>
      </c>
      <c r="T112" s="143">
        <f t="shared" ca="1" si="39"/>
        <v>1180.5612886163597</v>
      </c>
      <c r="U112" s="143">
        <f t="shared" ca="1" si="39"/>
        <v>1224.0761769681128</v>
      </c>
      <c r="V112" s="143">
        <f t="shared" ca="1" si="39"/>
        <v>1267.5891098730069</v>
      </c>
      <c r="W112" s="143">
        <f t="shared" ca="1" si="39"/>
        <v>422.79458212076048</v>
      </c>
      <c r="X112" s="143">
        <f t="shared" ca="1" si="39"/>
        <v>-79.399492355525439</v>
      </c>
      <c r="Y112" s="143">
        <f t="shared" ca="1" si="39"/>
        <v>-79.797484798410281</v>
      </c>
      <c r="Z112" s="143">
        <f t="shared" ca="1" si="39"/>
        <v>-80.197472190883516</v>
      </c>
      <c r="AA112" s="143">
        <f t="shared" ca="1" si="39"/>
        <v>-80.599464532692451</v>
      </c>
    </row>
    <row r="113" spans="1:27" s="36" customFormat="1" outlineLevel="1"/>
    <row r="114" spans="1:27" s="36" customFormat="1" outlineLevel="1">
      <c r="B114" s="54" t="s">
        <v>111</v>
      </c>
    </row>
    <row r="115" spans="1:27" s="36" customFormat="1" outlineLevel="1">
      <c r="B115" s="110" t="s">
        <v>48</v>
      </c>
      <c r="C115" s="48"/>
      <c r="D115" s="104">
        <v>-500</v>
      </c>
      <c r="E115" s="102">
        <f ca="1">D117</f>
        <v>499.99999999999989</v>
      </c>
      <c r="F115" s="102">
        <f ca="1">E117</f>
        <v>499.99999999999989</v>
      </c>
      <c r="G115" s="102">
        <f t="shared" ref="G115:AA115" ca="1" si="40">F117</f>
        <v>499.99999999999989</v>
      </c>
      <c r="H115" s="102">
        <f t="shared" ca="1" si="40"/>
        <v>499.99999999999989</v>
      </c>
      <c r="I115" s="102">
        <f t="shared" ca="1" si="40"/>
        <v>499.99999999999989</v>
      </c>
      <c r="J115" s="102">
        <f t="shared" ca="1" si="40"/>
        <v>499.99999999999989</v>
      </c>
      <c r="K115" s="102">
        <f t="shared" ca="1" si="40"/>
        <v>499.99999999999989</v>
      </c>
      <c r="L115" s="102">
        <f t="shared" ca="1" si="40"/>
        <v>499.99999999999989</v>
      </c>
      <c r="M115" s="102">
        <f t="shared" ca="1" si="40"/>
        <v>499.99999999999989</v>
      </c>
      <c r="N115" s="102">
        <f t="shared" ca="1" si="40"/>
        <v>499.99999999999989</v>
      </c>
      <c r="O115" s="102">
        <f t="shared" ca="1" si="40"/>
        <v>499.99999999999989</v>
      </c>
      <c r="P115" s="102">
        <f t="shared" ca="1" si="40"/>
        <v>499.99999999999989</v>
      </c>
      <c r="Q115" s="102">
        <f t="shared" ca="1" si="40"/>
        <v>499.99999999999989</v>
      </c>
      <c r="R115" s="102">
        <f t="shared" ca="1" si="40"/>
        <v>499.99999999999989</v>
      </c>
      <c r="S115" s="102">
        <f t="shared" ca="1" si="40"/>
        <v>499.99999999999989</v>
      </c>
      <c r="T115" s="102">
        <f t="shared" ca="1" si="40"/>
        <v>499.99999999999989</v>
      </c>
      <c r="U115" s="102">
        <f t="shared" ca="1" si="40"/>
        <v>499.99999999999989</v>
      </c>
      <c r="V115" s="102">
        <f t="shared" ca="1" si="40"/>
        <v>499.99999999999989</v>
      </c>
      <c r="W115" s="102">
        <f t="shared" ca="1" si="40"/>
        <v>499.99999999999989</v>
      </c>
      <c r="X115" s="102">
        <f t="shared" ca="1" si="40"/>
        <v>-384.30549540854429</v>
      </c>
      <c r="Y115" s="102">
        <f t="shared" ca="1" si="40"/>
        <v>-1800.3140578502048</v>
      </c>
      <c r="Z115" s="102">
        <f t="shared" ca="1" si="40"/>
        <v>-3244.2276202918647</v>
      </c>
      <c r="AA115" s="102">
        <f t="shared" ca="1" si="40"/>
        <v>-4713.0776553362648</v>
      </c>
    </row>
    <row r="116" spans="1:27" s="36" customFormat="1" outlineLevel="1">
      <c r="B116" s="110" t="s">
        <v>58</v>
      </c>
      <c r="C116" s="48"/>
      <c r="D116" s="102">
        <f t="shared" ref="D116:AA116" ca="1" si="41">D101+D105+D112</f>
        <v>999.99999999999989</v>
      </c>
      <c r="E116" s="102">
        <f t="shared" ca="1" si="41"/>
        <v>0</v>
      </c>
      <c r="F116" s="102">
        <f t="shared" ca="1" si="41"/>
        <v>0</v>
      </c>
      <c r="G116" s="102">
        <f t="shared" ca="1" si="41"/>
        <v>0</v>
      </c>
      <c r="H116" s="102">
        <f t="shared" ca="1" si="41"/>
        <v>0</v>
      </c>
      <c r="I116" s="102">
        <f t="shared" ca="1" si="41"/>
        <v>0</v>
      </c>
      <c r="J116" s="102">
        <f t="shared" ca="1" si="41"/>
        <v>0</v>
      </c>
      <c r="K116" s="102">
        <f t="shared" ca="1" si="41"/>
        <v>0</v>
      </c>
      <c r="L116" s="102">
        <f t="shared" ca="1" si="41"/>
        <v>0</v>
      </c>
      <c r="M116" s="102">
        <f t="shared" ca="1" si="41"/>
        <v>0</v>
      </c>
      <c r="N116" s="102">
        <f t="shared" ca="1" si="41"/>
        <v>0</v>
      </c>
      <c r="O116" s="102">
        <f t="shared" ca="1" si="41"/>
        <v>0</v>
      </c>
      <c r="P116" s="102">
        <f t="shared" ca="1" si="41"/>
        <v>0</v>
      </c>
      <c r="Q116" s="102">
        <f t="shared" ca="1" si="41"/>
        <v>0</v>
      </c>
      <c r="R116" s="102">
        <f t="shared" ca="1" si="41"/>
        <v>0</v>
      </c>
      <c r="S116" s="102">
        <f t="shared" ca="1" si="41"/>
        <v>0</v>
      </c>
      <c r="T116" s="102">
        <f t="shared" ca="1" si="41"/>
        <v>0</v>
      </c>
      <c r="U116" s="102">
        <f t="shared" ca="1" si="41"/>
        <v>0</v>
      </c>
      <c r="V116" s="102">
        <f t="shared" ca="1" si="41"/>
        <v>0</v>
      </c>
      <c r="W116" s="102">
        <f t="shared" ca="1" si="41"/>
        <v>-884.30549540854418</v>
      </c>
      <c r="X116" s="102">
        <f t="shared" ca="1" si="41"/>
        <v>-1416.0085624416604</v>
      </c>
      <c r="Y116" s="102">
        <f t="shared" ca="1" si="41"/>
        <v>-1443.9135624416601</v>
      </c>
      <c r="Z116" s="102">
        <f ca="1">Z101+Z105+Z112</f>
        <v>-1468.8500350443999</v>
      </c>
      <c r="AA116" s="102">
        <f t="shared" ca="1" si="41"/>
        <v>-1493.2025350443998</v>
      </c>
    </row>
    <row r="117" spans="1:27" s="36" customFormat="1" ht="16.2" outlineLevel="1" thickBot="1">
      <c r="B117" s="110" t="s">
        <v>49</v>
      </c>
      <c r="C117" s="48"/>
      <c r="D117" s="140">
        <f ca="1">D115+D116</f>
        <v>499.99999999999989</v>
      </c>
      <c r="E117" s="140">
        <f ca="1">E115+E116</f>
        <v>499.99999999999989</v>
      </c>
      <c r="F117" s="140">
        <f t="shared" ref="F117:Z117" ca="1" si="42">F115+F116</f>
        <v>499.99999999999989</v>
      </c>
      <c r="G117" s="140">
        <f t="shared" ca="1" si="42"/>
        <v>499.99999999999989</v>
      </c>
      <c r="H117" s="140">
        <f t="shared" ca="1" si="42"/>
        <v>499.99999999999989</v>
      </c>
      <c r="I117" s="140">
        <f t="shared" ca="1" si="42"/>
        <v>499.99999999999989</v>
      </c>
      <c r="J117" s="140">
        <f t="shared" ca="1" si="42"/>
        <v>499.99999999999989</v>
      </c>
      <c r="K117" s="140">
        <f t="shared" ca="1" si="42"/>
        <v>499.99999999999989</v>
      </c>
      <c r="L117" s="140">
        <f t="shared" ca="1" si="42"/>
        <v>499.99999999999989</v>
      </c>
      <c r="M117" s="140">
        <f t="shared" ca="1" si="42"/>
        <v>499.99999999999989</v>
      </c>
      <c r="N117" s="140">
        <f t="shared" ca="1" si="42"/>
        <v>499.99999999999989</v>
      </c>
      <c r="O117" s="140">
        <f t="shared" ca="1" si="42"/>
        <v>499.99999999999989</v>
      </c>
      <c r="P117" s="140">
        <f t="shared" ca="1" si="42"/>
        <v>499.99999999999989</v>
      </c>
      <c r="Q117" s="140">
        <f t="shared" ca="1" si="42"/>
        <v>499.99999999999989</v>
      </c>
      <c r="R117" s="140">
        <f t="shared" ca="1" si="42"/>
        <v>499.99999999999989</v>
      </c>
      <c r="S117" s="140">
        <f t="shared" ca="1" si="42"/>
        <v>499.99999999999989</v>
      </c>
      <c r="T117" s="140">
        <f t="shared" ca="1" si="42"/>
        <v>499.99999999999989</v>
      </c>
      <c r="U117" s="140">
        <f t="shared" ca="1" si="42"/>
        <v>499.99999999999989</v>
      </c>
      <c r="V117" s="140">
        <f t="shared" ca="1" si="42"/>
        <v>499.99999999999989</v>
      </c>
      <c r="W117" s="140">
        <f t="shared" ca="1" si="42"/>
        <v>-384.30549540854429</v>
      </c>
      <c r="X117" s="140">
        <f t="shared" ca="1" si="42"/>
        <v>-1800.3140578502048</v>
      </c>
      <c r="Y117" s="140">
        <f t="shared" ca="1" si="42"/>
        <v>-3244.2276202918647</v>
      </c>
      <c r="Z117" s="140">
        <f t="shared" ca="1" si="42"/>
        <v>-4713.0776553362648</v>
      </c>
      <c r="AA117" s="140">
        <f ca="1">AA115+AA116</f>
        <v>-6206.2801903806649</v>
      </c>
    </row>
    <row r="118" spans="1:27" s="36" customFormat="1" outlineLevel="1">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row>
    <row r="119" spans="1:27" s="36" customFormat="1" outlineLevel="1"/>
    <row r="120" spans="1:27" s="36" customFormat="1" outlineLevel="1"/>
    <row r="121" spans="1:27" s="36" customFormat="1"/>
    <row r="122" spans="1:27">
      <c r="A122" s="27" t="s">
        <v>38</v>
      </c>
      <c r="B122" s="44" t="s">
        <v>61</v>
      </c>
      <c r="C122" s="44"/>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row>
    <row r="123" spans="1:27" s="36" customFormat="1" outlineLevel="1"/>
    <row r="124" spans="1:27" s="36" customFormat="1" outlineLevel="1">
      <c r="B124" s="79" t="s">
        <v>62</v>
      </c>
    </row>
    <row r="125" spans="1:27" s="36" customFormat="1" outlineLevel="1">
      <c r="B125" s="79"/>
    </row>
    <row r="126" spans="1:27" s="36" customFormat="1" outlineLevel="1">
      <c r="B126" s="110" t="s">
        <v>67</v>
      </c>
      <c r="D126" s="102">
        <f ca="1">D117</f>
        <v>499.99999999999989</v>
      </c>
      <c r="E126" s="102">
        <f t="shared" ref="E126:AA126" ca="1" si="43">E117</f>
        <v>499.99999999999989</v>
      </c>
      <c r="F126" s="102">
        <f t="shared" ca="1" si="43"/>
        <v>499.99999999999989</v>
      </c>
      <c r="G126" s="102">
        <f t="shared" ca="1" si="43"/>
        <v>499.99999999999989</v>
      </c>
      <c r="H126" s="102">
        <f t="shared" ca="1" si="43"/>
        <v>499.99999999999989</v>
      </c>
      <c r="I126" s="102">
        <f t="shared" ca="1" si="43"/>
        <v>499.99999999999989</v>
      </c>
      <c r="J126" s="102">
        <f t="shared" ca="1" si="43"/>
        <v>499.99999999999989</v>
      </c>
      <c r="K126" s="102">
        <f t="shared" ca="1" si="43"/>
        <v>499.99999999999989</v>
      </c>
      <c r="L126" s="102">
        <f t="shared" ca="1" si="43"/>
        <v>499.99999999999989</v>
      </c>
      <c r="M126" s="102">
        <f t="shared" ca="1" si="43"/>
        <v>499.99999999999989</v>
      </c>
      <c r="N126" s="102">
        <f t="shared" ca="1" si="43"/>
        <v>499.99999999999989</v>
      </c>
      <c r="O126" s="102">
        <f t="shared" ca="1" si="43"/>
        <v>499.99999999999989</v>
      </c>
      <c r="P126" s="102">
        <f t="shared" ca="1" si="43"/>
        <v>499.99999999999989</v>
      </c>
      <c r="Q126" s="102">
        <f t="shared" ca="1" si="43"/>
        <v>499.99999999999989</v>
      </c>
      <c r="R126" s="102">
        <f t="shared" ca="1" si="43"/>
        <v>499.99999999999989</v>
      </c>
      <c r="S126" s="102">
        <f t="shared" ca="1" si="43"/>
        <v>499.99999999999989</v>
      </c>
      <c r="T126" s="102">
        <f t="shared" ca="1" si="43"/>
        <v>499.99999999999989</v>
      </c>
      <c r="U126" s="102">
        <f t="shared" ca="1" si="43"/>
        <v>499.99999999999989</v>
      </c>
      <c r="V126" s="102">
        <f t="shared" ca="1" si="43"/>
        <v>499.99999999999989</v>
      </c>
      <c r="W126" s="102">
        <f t="shared" ca="1" si="43"/>
        <v>-384.30549540854429</v>
      </c>
      <c r="X126" s="102">
        <f t="shared" ca="1" si="43"/>
        <v>-1800.3140578502048</v>
      </c>
      <c r="Y126" s="102">
        <f t="shared" ca="1" si="43"/>
        <v>-3244.2276202918647</v>
      </c>
      <c r="Z126" s="102">
        <f t="shared" ca="1" si="43"/>
        <v>-4713.0776553362648</v>
      </c>
      <c r="AA126" s="102">
        <f t="shared" ca="1" si="43"/>
        <v>-6206.2801903806649</v>
      </c>
    </row>
    <row r="127" spans="1:27" s="36" customFormat="1" outlineLevel="1">
      <c r="B127" s="110" t="s">
        <v>75</v>
      </c>
      <c r="D127" s="102">
        <f>D217</f>
        <v>40.212328767123289</v>
      </c>
      <c r="E127" s="102">
        <f t="shared" ref="E127:AA127" si="44">E217</f>
        <v>41.058904109589037</v>
      </c>
      <c r="F127" s="102">
        <f t="shared" si="44"/>
        <v>41.905479452054792</v>
      </c>
      <c r="G127" s="102">
        <f t="shared" si="44"/>
        <v>42.752054794520546</v>
      </c>
      <c r="H127" s="102">
        <f t="shared" si="44"/>
        <v>43.598630136986301</v>
      </c>
      <c r="I127" s="102">
        <f t="shared" si="44"/>
        <v>44.445205479452049</v>
      </c>
      <c r="J127" s="102">
        <f t="shared" si="44"/>
        <v>45.291780821917811</v>
      </c>
      <c r="K127" s="102">
        <f t="shared" si="44"/>
        <v>46.138356164383559</v>
      </c>
      <c r="L127" s="102">
        <f t="shared" si="44"/>
        <v>46.984931506849314</v>
      </c>
      <c r="M127" s="102">
        <f t="shared" si="44"/>
        <v>47.831506849315069</v>
      </c>
      <c r="N127" s="102">
        <f t="shared" si="44"/>
        <v>48.678082191780817</v>
      </c>
      <c r="O127" s="102">
        <f t="shared" si="44"/>
        <v>47.831506849315069</v>
      </c>
      <c r="P127" s="102">
        <f t="shared" si="44"/>
        <v>46.300684931506844</v>
      </c>
      <c r="Q127" s="102">
        <f t="shared" si="44"/>
        <v>45.466438356164375</v>
      </c>
      <c r="R127" s="102">
        <f t="shared" si="44"/>
        <v>44.632191780821913</v>
      </c>
      <c r="S127" s="102">
        <f t="shared" si="44"/>
        <v>43.797945205479451</v>
      </c>
      <c r="T127" s="102">
        <f t="shared" si="44"/>
        <v>42.963698630136975</v>
      </c>
      <c r="U127" s="102">
        <f t="shared" si="44"/>
        <v>42.129452054794513</v>
      </c>
      <c r="V127" s="102">
        <f t="shared" si="44"/>
        <v>41.295205479452051</v>
      </c>
      <c r="W127" s="102">
        <f t="shared" si="44"/>
        <v>40.460958904109582</v>
      </c>
      <c r="X127" s="102">
        <f t="shared" si="44"/>
        <v>39.62671232876712</v>
      </c>
      <c r="Y127" s="102">
        <f t="shared" si="44"/>
        <v>38.792465753424651</v>
      </c>
      <c r="Z127" s="102">
        <f t="shared" si="44"/>
        <v>38.37534246575342</v>
      </c>
      <c r="AA127" s="102">
        <f t="shared" si="44"/>
        <v>37.958219178082182</v>
      </c>
    </row>
    <row r="128" spans="1:27" s="36" customFormat="1" outlineLevel="1">
      <c r="B128" s="110" t="s">
        <v>165</v>
      </c>
      <c r="D128" s="102">
        <f>(Inputs!$C$45/365)*D$15</f>
        <v>-16.084931506849315</v>
      </c>
      <c r="E128" s="102">
        <f>(Inputs!$C$45/365)*E$15</f>
        <v>-16.423561643835615</v>
      </c>
      <c r="F128" s="102">
        <f>(Inputs!$C$45/365)*F$15</f>
        <v>-16.762191780821919</v>
      </c>
      <c r="G128" s="102">
        <f>(Inputs!$C$45/365)*G$15</f>
        <v>-17.100821917808219</v>
      </c>
      <c r="H128" s="102">
        <f>(Inputs!$C$45/365)*H$15</f>
        <v>-17.439452054794522</v>
      </c>
      <c r="I128" s="102">
        <f>(Inputs!$C$45/365)*I$15</f>
        <v>-17.778082191780822</v>
      </c>
      <c r="J128" s="102">
        <f>(Inputs!$C$45/365)*J$15</f>
        <v>-18.116712328767125</v>
      </c>
      <c r="K128" s="102">
        <f>(Inputs!$C$45/365)*K$15</f>
        <v>-18.455342465753425</v>
      </c>
      <c r="L128" s="102">
        <f>(Inputs!$C$45/365)*L$15</f>
        <v>-18.793972602739721</v>
      </c>
      <c r="M128" s="102">
        <f>(Inputs!$C$45/365)*M$15</f>
        <v>-19.132602739726028</v>
      </c>
      <c r="N128" s="102">
        <f>(Inputs!$C$45/365)*N$15</f>
        <v>-19.471232876712325</v>
      </c>
      <c r="O128" s="102">
        <f>(Inputs!$C$45/365)*O$15</f>
        <v>-19.132602739726028</v>
      </c>
      <c r="P128" s="102">
        <f>(Inputs!$C$45/365)*P$15</f>
        <v>-18.520273972602737</v>
      </c>
      <c r="Q128" s="102">
        <f>(Inputs!$C$45/365)*Q$15</f>
        <v>-18.186575342465751</v>
      </c>
      <c r="R128" s="102">
        <f>(Inputs!$C$45/365)*R$15</f>
        <v>-17.852876712328765</v>
      </c>
      <c r="S128" s="102">
        <f>(Inputs!$C$45/365)*S$15</f>
        <v>-17.519178082191779</v>
      </c>
      <c r="T128" s="102">
        <f>(Inputs!$C$45/365)*T$15</f>
        <v>-17.185479452054789</v>
      </c>
      <c r="U128" s="102">
        <f>(Inputs!$C$45/365)*U$15</f>
        <v>-16.851780821917806</v>
      </c>
      <c r="V128" s="102">
        <f>(Inputs!$C$45/365)*V$15</f>
        <v>-16.51808219178082</v>
      </c>
      <c r="W128" s="102">
        <f>(Inputs!$C$45/365)*W$15</f>
        <v>-16.184383561643831</v>
      </c>
      <c r="X128" s="102">
        <f>(Inputs!$C$45/365)*X$15</f>
        <v>-15.850684931506848</v>
      </c>
      <c r="Y128" s="102">
        <f>(Inputs!$C$45/365)*Y$15</f>
        <v>-15.51698630136986</v>
      </c>
      <c r="Z128" s="102">
        <f>(Inputs!$C$45/365)*Z$15</f>
        <v>-15.350136986301369</v>
      </c>
      <c r="AA128" s="102">
        <f>(Inputs!$C$45/365)*AA$15</f>
        <v>-15.183287671232874</v>
      </c>
    </row>
    <row r="129" spans="2:27" s="36" customFormat="1" outlineLevel="1">
      <c r="B129" s="110" t="s">
        <v>166</v>
      </c>
      <c r="D129" s="143">
        <f ca="1">SUM(D126:D128)</f>
        <v>524.12739726027382</v>
      </c>
      <c r="E129" s="143">
        <f t="shared" ref="E129:AA129" ca="1" si="45">SUM(E126:E128)</f>
        <v>524.6353424657533</v>
      </c>
      <c r="F129" s="143">
        <f t="shared" ca="1" si="45"/>
        <v>525.14328767123277</v>
      </c>
      <c r="G129" s="143">
        <f t="shared" ca="1" si="45"/>
        <v>525.65123287671213</v>
      </c>
      <c r="H129" s="143">
        <f t="shared" ca="1" si="45"/>
        <v>526.15917808219172</v>
      </c>
      <c r="I129" s="143">
        <f t="shared" ca="1" si="45"/>
        <v>526.66712328767107</v>
      </c>
      <c r="J129" s="143">
        <f t="shared" ca="1" si="45"/>
        <v>527.17506849315055</v>
      </c>
      <c r="K129" s="143">
        <f t="shared" ca="1" si="45"/>
        <v>527.68301369863002</v>
      </c>
      <c r="L129" s="143">
        <f t="shared" ca="1" si="45"/>
        <v>528.19095890410949</v>
      </c>
      <c r="M129" s="143">
        <f t="shared" ca="1" si="45"/>
        <v>528.69890410958885</v>
      </c>
      <c r="N129" s="143">
        <f t="shared" ca="1" si="45"/>
        <v>529.20684931506844</v>
      </c>
      <c r="O129" s="143">
        <f t="shared" ca="1" si="45"/>
        <v>528.69890410958885</v>
      </c>
      <c r="P129" s="143">
        <f t="shared" ca="1" si="45"/>
        <v>527.78041095890399</v>
      </c>
      <c r="Q129" s="143">
        <f t="shared" ca="1" si="45"/>
        <v>527.27986301369856</v>
      </c>
      <c r="R129" s="143">
        <f t="shared" ca="1" si="45"/>
        <v>526.77931506849302</v>
      </c>
      <c r="S129" s="143">
        <f t="shared" ca="1" si="45"/>
        <v>526.27876712328759</v>
      </c>
      <c r="T129" s="143">
        <f t="shared" ca="1" si="45"/>
        <v>525.77821917808205</v>
      </c>
      <c r="U129" s="143">
        <f t="shared" ca="1" si="45"/>
        <v>525.27767123287663</v>
      </c>
      <c r="V129" s="143">
        <f t="shared" ca="1" si="45"/>
        <v>524.7771232876712</v>
      </c>
      <c r="W129" s="143">
        <f t="shared" ca="1" si="45"/>
        <v>-360.02892006607851</v>
      </c>
      <c r="X129" s="143">
        <f t="shared" ca="1" si="45"/>
        <v>-1776.5380304529444</v>
      </c>
      <c r="Y129" s="143">
        <f t="shared" ca="1" si="45"/>
        <v>-3220.95214083981</v>
      </c>
      <c r="Z129" s="143">
        <f t="shared" ca="1" si="45"/>
        <v>-4690.0524498568129</v>
      </c>
      <c r="AA129" s="143">
        <f t="shared" ca="1" si="45"/>
        <v>-6183.5052588738163</v>
      </c>
    </row>
    <row r="130" spans="2:27" s="36" customFormat="1" outlineLevel="1">
      <c r="B130" s="110"/>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row>
    <row r="131" spans="2:27" s="36" customFormat="1" outlineLevel="1">
      <c r="B131" s="110" t="s">
        <v>167</v>
      </c>
      <c r="D131" s="102">
        <f>Inputs!$C$33-D104+D23</f>
        <v>5007.2583333333332</v>
      </c>
      <c r="E131" s="102">
        <f t="shared" ref="E131:AA131" si="46">D131-E104+E23</f>
        <v>5015.5466666666662</v>
      </c>
      <c r="F131" s="102">
        <f t="shared" si="46"/>
        <v>5024.8649999999989</v>
      </c>
      <c r="G131" s="102">
        <f t="shared" si="46"/>
        <v>5035.2133333333322</v>
      </c>
      <c r="H131" s="102">
        <f t="shared" si="46"/>
        <v>5046.5916666666653</v>
      </c>
      <c r="I131" s="102">
        <f t="shared" si="46"/>
        <v>5058.9999999999982</v>
      </c>
      <c r="J131" s="102">
        <f t="shared" si="46"/>
        <v>5072.4383333333308</v>
      </c>
      <c r="K131" s="102">
        <f t="shared" si="46"/>
        <v>5086.906666666664</v>
      </c>
      <c r="L131" s="102">
        <f t="shared" si="46"/>
        <v>5102.404999999997</v>
      </c>
      <c r="M131" s="102">
        <f t="shared" si="46"/>
        <v>5118.9333333333298</v>
      </c>
      <c r="N131" s="102">
        <f t="shared" si="46"/>
        <v>5136.4916666666631</v>
      </c>
      <c r="O131" s="102">
        <f t="shared" si="46"/>
        <v>5153.0199999999959</v>
      </c>
      <c r="P131" s="102">
        <f t="shared" si="46"/>
        <v>5167.6858333333294</v>
      </c>
      <c r="Q131" s="102">
        <f t="shared" si="46"/>
        <v>5181.3366666666625</v>
      </c>
      <c r="R131" s="102">
        <f t="shared" si="46"/>
        <v>5193.9724999999953</v>
      </c>
      <c r="S131" s="102">
        <f t="shared" si="46"/>
        <v>5205.5933333333287</v>
      </c>
      <c r="T131" s="102">
        <f t="shared" si="46"/>
        <v>5216.1991666666618</v>
      </c>
      <c r="U131" s="102">
        <f t="shared" si="46"/>
        <v>5225.7899999999945</v>
      </c>
      <c r="V131" s="102">
        <f t="shared" si="46"/>
        <v>5234.3658333333278</v>
      </c>
      <c r="W131" s="102">
        <f t="shared" si="46"/>
        <v>5241.9266666666608</v>
      </c>
      <c r="X131" s="102">
        <f t="shared" si="46"/>
        <v>5248.4724999999935</v>
      </c>
      <c r="Y131" s="102">
        <f t="shared" si="46"/>
        <v>5254.0033333333267</v>
      </c>
      <c r="Z131" s="102">
        <f t="shared" si="46"/>
        <v>5259.0266666666594</v>
      </c>
      <c r="AA131" s="102">
        <f t="shared" si="46"/>
        <v>5263.5424999999923</v>
      </c>
    </row>
    <row r="132" spans="2:27" s="36" customFormat="1" outlineLevel="1">
      <c r="B132" s="110"/>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row>
    <row r="133" spans="2:27" s="36" customFormat="1" outlineLevel="1">
      <c r="B133" s="110"/>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row>
    <row r="134" spans="2:27" s="36" customFormat="1" ht="16.2" outlineLevel="1" thickBot="1">
      <c r="B134" s="110" t="s">
        <v>65</v>
      </c>
      <c r="D134" s="140">
        <f ca="1">D129+D131</f>
        <v>5531.3857305936071</v>
      </c>
      <c r="E134" s="140">
        <f t="shared" ref="E134:AA134" ca="1" si="47">E129+E131</f>
        <v>5540.1820091324198</v>
      </c>
      <c r="F134" s="140">
        <f t="shared" ca="1" si="47"/>
        <v>5550.0082876712313</v>
      </c>
      <c r="G134" s="140">
        <f t="shared" ca="1" si="47"/>
        <v>5560.8645662100444</v>
      </c>
      <c r="H134" s="140">
        <f t="shared" ca="1" si="47"/>
        <v>5572.7508447488572</v>
      </c>
      <c r="I134" s="140">
        <f t="shared" ca="1" si="47"/>
        <v>5585.6671232876688</v>
      </c>
      <c r="J134" s="140">
        <f t="shared" ca="1" si="47"/>
        <v>5599.6134018264811</v>
      </c>
      <c r="K134" s="140">
        <f t="shared" ca="1" si="47"/>
        <v>5614.589680365294</v>
      </c>
      <c r="L134" s="140">
        <f t="shared" ca="1" si="47"/>
        <v>5630.5959589041067</v>
      </c>
      <c r="M134" s="140">
        <f t="shared" ca="1" si="47"/>
        <v>5647.6322374429183</v>
      </c>
      <c r="N134" s="140">
        <f t="shared" ca="1" si="47"/>
        <v>5665.6985159817314</v>
      </c>
      <c r="O134" s="140">
        <f t="shared" ca="1" si="47"/>
        <v>5681.7189041095844</v>
      </c>
      <c r="P134" s="140">
        <f t="shared" ca="1" si="47"/>
        <v>5695.4662442922336</v>
      </c>
      <c r="Q134" s="140">
        <f t="shared" ca="1" si="47"/>
        <v>5708.6165296803611</v>
      </c>
      <c r="R134" s="140">
        <f t="shared" ca="1" si="47"/>
        <v>5720.7518150684882</v>
      </c>
      <c r="S134" s="140">
        <f t="shared" ca="1" si="47"/>
        <v>5731.872100456616</v>
      </c>
      <c r="T134" s="140">
        <f t="shared" ca="1" si="47"/>
        <v>5741.9773858447443</v>
      </c>
      <c r="U134" s="140">
        <f t="shared" ca="1" si="47"/>
        <v>5751.0676712328714</v>
      </c>
      <c r="V134" s="140">
        <f t="shared" ca="1" si="47"/>
        <v>5759.142956620999</v>
      </c>
      <c r="W134" s="140">
        <f t="shared" ca="1" si="47"/>
        <v>4881.8977466005826</v>
      </c>
      <c r="X134" s="140">
        <f t="shared" ca="1" si="47"/>
        <v>3471.934469547049</v>
      </c>
      <c r="Y134" s="140">
        <f t="shared" ca="1" si="47"/>
        <v>2033.0511924935167</v>
      </c>
      <c r="Z134" s="140">
        <f t="shared" ca="1" si="47"/>
        <v>568.97421680984644</v>
      </c>
      <c r="AA134" s="140">
        <f t="shared" ca="1" si="47"/>
        <v>-919.96275887382399</v>
      </c>
    </row>
    <row r="135" spans="2:27" s="36" customFormat="1" outlineLevel="1">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row>
    <row r="136" spans="2:27" s="36" customFormat="1" outlineLevel="1">
      <c r="B136" s="79" t="s">
        <v>63</v>
      </c>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row>
    <row r="137" spans="2:27" s="36" customFormat="1" outlineLevel="1">
      <c r="B137" s="79"/>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row>
    <row r="138" spans="2:27" s="36" customFormat="1" outlineLevel="1">
      <c r="B138" s="110" t="s">
        <v>77</v>
      </c>
      <c r="D138" s="102">
        <f>(Inputs!$C$44/365)*D$15</f>
        <v>-32.169863013698631</v>
      </c>
      <c r="E138" s="102">
        <f>(Inputs!$C$44/365)*E$15</f>
        <v>-32.847123287671231</v>
      </c>
      <c r="F138" s="102">
        <f>(Inputs!$C$44/365)*F$15</f>
        <v>-33.524383561643837</v>
      </c>
      <c r="G138" s="102">
        <f>(Inputs!$C$44/365)*G$15</f>
        <v>-34.201643835616437</v>
      </c>
      <c r="H138" s="102">
        <f>(Inputs!$C$44/365)*H$15</f>
        <v>-34.878904109589044</v>
      </c>
      <c r="I138" s="102">
        <f>(Inputs!$C$44/365)*I$15</f>
        <v>-35.556164383561644</v>
      </c>
      <c r="J138" s="102">
        <f>(Inputs!$C$44/365)*J$15</f>
        <v>-36.23342465753425</v>
      </c>
      <c r="K138" s="102">
        <f>(Inputs!$C$44/365)*K$15</f>
        <v>-36.91068493150685</v>
      </c>
      <c r="L138" s="102">
        <f>(Inputs!$C$44/365)*L$15</f>
        <v>-37.587945205479443</v>
      </c>
      <c r="M138" s="102">
        <f>(Inputs!$C$44/365)*M$15</f>
        <v>-38.265205479452057</v>
      </c>
      <c r="N138" s="102">
        <f>(Inputs!$C$44/365)*N$15</f>
        <v>-38.942465753424649</v>
      </c>
      <c r="O138" s="102">
        <f>(Inputs!$C$44/365)*O$15</f>
        <v>-38.265205479452057</v>
      </c>
      <c r="P138" s="102">
        <f>(Inputs!$C$44/365)*P$15</f>
        <v>-37.040547945205475</v>
      </c>
      <c r="Q138" s="102">
        <f>(Inputs!$C$44/365)*Q$15</f>
        <v>-36.373150684931502</v>
      </c>
      <c r="R138" s="102">
        <f>(Inputs!$C$44/365)*R$15</f>
        <v>-35.70575342465753</v>
      </c>
      <c r="S138" s="102">
        <f>(Inputs!$C$44/365)*S$15</f>
        <v>-35.038356164383558</v>
      </c>
      <c r="T138" s="102">
        <f>(Inputs!$C$44/365)*T$15</f>
        <v>-34.370958904109578</v>
      </c>
      <c r="U138" s="102">
        <f>(Inputs!$C$44/365)*U$15</f>
        <v>-33.703561643835613</v>
      </c>
      <c r="V138" s="102">
        <f>(Inputs!$C$44/365)*V$15</f>
        <v>-33.036164383561641</v>
      </c>
      <c r="W138" s="102">
        <f>(Inputs!$C$44/365)*W$15</f>
        <v>-32.368767123287661</v>
      </c>
      <c r="X138" s="102">
        <f>(Inputs!$C$44/365)*X$15</f>
        <v>-31.701369863013696</v>
      </c>
      <c r="Y138" s="102">
        <f>(Inputs!$C$44/365)*Y$15</f>
        <v>-31.03397260273972</v>
      </c>
      <c r="Z138" s="102">
        <f>(Inputs!$C$44/365)*Z$15</f>
        <v>-30.700273972602737</v>
      </c>
      <c r="AA138" s="102">
        <f>(Inputs!$C$44/365)*AA$15</f>
        <v>-30.366575342465747</v>
      </c>
    </row>
    <row r="139" spans="2:27" s="36" customFormat="1" outlineLevel="1">
      <c r="B139" s="110" t="s">
        <v>168</v>
      </c>
      <c r="D139" s="102">
        <f ca="1">D201</f>
        <v>1748.7362679211119</v>
      </c>
      <c r="E139" s="102">
        <f t="shared" ref="E139:AA139" ca="1" si="48">E201</f>
        <v>2471.6504810477036</v>
      </c>
      <c r="F139" s="102">
        <f t="shared" ca="1" si="48"/>
        <v>3215.8546941742952</v>
      </c>
      <c r="G139" s="102">
        <f t="shared" ca="1" si="48"/>
        <v>3983.3489073008868</v>
      </c>
      <c r="H139" s="102">
        <f t="shared" ca="1" si="48"/>
        <v>4774.1331204274784</v>
      </c>
      <c r="I139" s="102">
        <f t="shared" ca="1" si="48"/>
        <v>5588.2073335540699</v>
      </c>
      <c r="J139" s="102">
        <f t="shared" ca="1" si="48"/>
        <v>6425.5715466806614</v>
      </c>
      <c r="K139" s="102">
        <f t="shared" ca="1" si="48"/>
        <v>7286.2257598072529</v>
      </c>
      <c r="L139" s="102">
        <f t="shared" ca="1" si="48"/>
        <v>8172.1699729338443</v>
      </c>
      <c r="M139" s="102">
        <f t="shared" ca="1" si="48"/>
        <v>9081.4041860604357</v>
      </c>
      <c r="N139" s="102">
        <f t="shared" ca="1" si="48"/>
        <v>10015.928399187027</v>
      </c>
      <c r="O139" s="102">
        <f t="shared" ca="1" si="48"/>
        <v>10987.792201354714</v>
      </c>
      <c r="P139" s="102">
        <f t="shared" ca="1" si="48"/>
        <v>12075.585558316921</v>
      </c>
      <c r="Q139" s="102">
        <f t="shared" ca="1" si="48"/>
        <v>13204.259120758581</v>
      </c>
      <c r="R139" s="102">
        <f t="shared" ca="1" si="48"/>
        <v>14376.837683200241</v>
      </c>
      <c r="S139" s="102">
        <f t="shared" ca="1" si="48"/>
        <v>15591.321245641902</v>
      </c>
      <c r="T139" s="102">
        <f t="shared" ca="1" si="48"/>
        <v>16849.709808083564</v>
      </c>
      <c r="U139" s="102">
        <f t="shared" ca="1" si="48"/>
        <v>18152.003370525224</v>
      </c>
      <c r="V139" s="102">
        <f t="shared" ca="1" si="48"/>
        <v>19498.201932966884</v>
      </c>
      <c r="W139" s="102">
        <f t="shared" ca="1" si="48"/>
        <v>20000</v>
      </c>
      <c r="X139" s="102">
        <f t="shared" ca="1" si="48"/>
        <v>20000</v>
      </c>
      <c r="Y139" s="102">
        <f t="shared" ca="1" si="48"/>
        <v>20000</v>
      </c>
      <c r="Z139" s="102">
        <f t="shared" ca="1" si="48"/>
        <v>20000</v>
      </c>
      <c r="AA139" s="102">
        <f t="shared" ca="1" si="48"/>
        <v>20000</v>
      </c>
    </row>
    <row r="140" spans="2:27" s="36" customFormat="1" outlineLevel="1">
      <c r="B140" s="110" t="s">
        <v>78</v>
      </c>
      <c r="D140" s="143">
        <f ca="1">SUM(D138:D139)</f>
        <v>1716.5664049074132</v>
      </c>
      <c r="E140" s="143">
        <f t="shared" ref="E140:AA140" ca="1" si="49">SUM(E138:E139)</f>
        <v>2438.8033577600322</v>
      </c>
      <c r="F140" s="143">
        <f t="shared" ca="1" si="49"/>
        <v>3182.3303106126514</v>
      </c>
      <c r="G140" s="143">
        <f t="shared" ca="1" si="49"/>
        <v>3949.1472634652705</v>
      </c>
      <c r="H140" s="143">
        <f t="shared" ca="1" si="49"/>
        <v>4739.2542163178896</v>
      </c>
      <c r="I140" s="143">
        <f t="shared" ca="1" si="49"/>
        <v>5552.6511691705082</v>
      </c>
      <c r="J140" s="143">
        <f t="shared" ca="1" si="49"/>
        <v>6389.3381220231267</v>
      </c>
      <c r="K140" s="143">
        <f t="shared" ca="1" si="49"/>
        <v>7249.3150748757462</v>
      </c>
      <c r="L140" s="143">
        <f t="shared" ca="1" si="49"/>
        <v>8134.5820277283647</v>
      </c>
      <c r="M140" s="143">
        <f t="shared" ca="1" si="49"/>
        <v>9043.1389805809831</v>
      </c>
      <c r="N140" s="143">
        <f t="shared" ca="1" si="49"/>
        <v>9976.9859334336015</v>
      </c>
      <c r="O140" s="143">
        <f t="shared" ca="1" si="49"/>
        <v>10949.526995875261</v>
      </c>
      <c r="P140" s="143">
        <f t="shared" ca="1" si="49"/>
        <v>12038.545010371716</v>
      </c>
      <c r="Q140" s="143">
        <f t="shared" ca="1" si="49"/>
        <v>13167.88597007365</v>
      </c>
      <c r="R140" s="143">
        <f t="shared" ca="1" si="49"/>
        <v>14341.131929775584</v>
      </c>
      <c r="S140" s="143">
        <f t="shared" ca="1" si="49"/>
        <v>15556.282889477519</v>
      </c>
      <c r="T140" s="143">
        <f t="shared" ca="1" si="49"/>
        <v>16815.338849179454</v>
      </c>
      <c r="U140" s="143">
        <f t="shared" ca="1" si="49"/>
        <v>18118.299808881387</v>
      </c>
      <c r="V140" s="143">
        <f t="shared" ca="1" si="49"/>
        <v>19465.165768583323</v>
      </c>
      <c r="W140" s="143">
        <f t="shared" ca="1" si="49"/>
        <v>19967.631232876713</v>
      </c>
      <c r="X140" s="143">
        <f t="shared" ca="1" si="49"/>
        <v>19968.298630136986</v>
      </c>
      <c r="Y140" s="143">
        <f t="shared" ca="1" si="49"/>
        <v>19968.966027397259</v>
      </c>
      <c r="Z140" s="143">
        <f t="shared" ca="1" si="49"/>
        <v>19969.299726027399</v>
      </c>
      <c r="AA140" s="143">
        <f t="shared" ca="1" si="49"/>
        <v>19969.633424657535</v>
      </c>
    </row>
    <row r="141" spans="2:27" s="36" customFormat="1" outlineLevel="1">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row>
    <row r="142" spans="2:27" s="36" customFormat="1" outlineLevel="1">
      <c r="B142" s="110" t="s">
        <v>169</v>
      </c>
      <c r="D142" s="102">
        <f ca="1">D173</f>
        <v>4928.1563833111386</v>
      </c>
      <c r="E142" s="102">
        <f t="shared" ref="E142:AA142" ca="1" si="50">E173</f>
        <v>4855.9526482428837</v>
      </c>
      <c r="F142" s="102">
        <f t="shared" ca="1" si="50"/>
        <v>4783.386989690578</v>
      </c>
      <c r="G142" s="102">
        <f t="shared" ca="1" si="50"/>
        <v>4710.4575935014182</v>
      </c>
      <c r="H142" s="102">
        <f t="shared" ca="1" si="50"/>
        <v>4637.1626364291051</v>
      </c>
      <c r="I142" s="102">
        <f t="shared" ca="1" si="50"/>
        <v>4563.5002860882587</v>
      </c>
      <c r="J142" s="102">
        <f t="shared" ca="1" si="50"/>
        <v>4489.468700908611</v>
      </c>
      <c r="K142" s="102">
        <f t="shared" ca="1" si="50"/>
        <v>4415.0660300889658</v>
      </c>
      <c r="L142" s="102">
        <f t="shared" ca="1" si="50"/>
        <v>4340.2904135509261</v>
      </c>
      <c r="M142" s="102">
        <f t="shared" ca="1" si="50"/>
        <v>4265.1399818923946</v>
      </c>
      <c r="N142" s="102">
        <f t="shared" ca="1" si="50"/>
        <v>4189.6128563408383</v>
      </c>
      <c r="O142" s="102">
        <f t="shared" ca="1" si="50"/>
        <v>4113.7071487063167</v>
      </c>
      <c r="P142" s="102">
        <f t="shared" ca="1" si="50"/>
        <v>4037.4209613342787</v>
      </c>
      <c r="Q142" s="102">
        <f t="shared" ca="1" si="50"/>
        <v>3960.7523870581199</v>
      </c>
      <c r="R142" s="102">
        <f t="shared" ca="1" si="50"/>
        <v>3883.6995091515046</v>
      </c>
      <c r="S142" s="102">
        <f t="shared" ca="1" si="50"/>
        <v>3806.260401280445</v>
      </c>
      <c r="T142" s="102">
        <f t="shared" ca="1" si="50"/>
        <v>3728.4331274551446</v>
      </c>
      <c r="U142" s="102">
        <f t="shared" ca="1" si="50"/>
        <v>3650.2157419815967</v>
      </c>
      <c r="V142" s="102">
        <f t="shared" ca="1" si="50"/>
        <v>3571.6062894129436</v>
      </c>
      <c r="W142" s="102">
        <f t="shared" ca="1" si="50"/>
        <v>3492.6028045005878</v>
      </c>
      <c r="X142" s="102">
        <f t="shared" ca="1" si="50"/>
        <v>3413.2033121450622</v>
      </c>
      <c r="Y142" s="102">
        <f t="shared" ca="1" si="50"/>
        <v>3333.4058273466521</v>
      </c>
      <c r="Z142" s="102">
        <f t="shared" ca="1" si="50"/>
        <v>3253.2083551557685</v>
      </c>
      <c r="AA142" s="102">
        <f t="shared" ca="1" si="50"/>
        <v>3172.6088906230761</v>
      </c>
    </row>
    <row r="143" spans="2:27" s="36" customFormat="1" outlineLevel="1">
      <c r="B143" s="110" t="s">
        <v>66</v>
      </c>
      <c r="D143" s="143">
        <f ca="1">SUM(D140:D142)</f>
        <v>6644.7227882185516</v>
      </c>
      <c r="E143" s="143">
        <f t="shared" ref="E143:AA143" ca="1" si="51">SUM(E140:E142)</f>
        <v>7294.7560060029155</v>
      </c>
      <c r="F143" s="143">
        <f t="shared" ca="1" si="51"/>
        <v>7965.7173003032294</v>
      </c>
      <c r="G143" s="143">
        <f t="shared" ca="1" si="51"/>
        <v>8659.6048569666891</v>
      </c>
      <c r="H143" s="143">
        <f t="shared" ca="1" si="51"/>
        <v>9376.4168527469956</v>
      </c>
      <c r="I143" s="143">
        <f t="shared" ca="1" si="51"/>
        <v>10116.151455258767</v>
      </c>
      <c r="J143" s="143">
        <f t="shared" ca="1" si="51"/>
        <v>10878.806822931738</v>
      </c>
      <c r="K143" s="143">
        <f t="shared" ca="1" si="51"/>
        <v>11664.381104964712</v>
      </c>
      <c r="L143" s="143">
        <f t="shared" ca="1" si="51"/>
        <v>12474.872441279291</v>
      </c>
      <c r="M143" s="143">
        <f t="shared" ca="1" si="51"/>
        <v>13308.278962473378</v>
      </c>
      <c r="N143" s="143">
        <f t="shared" ca="1" si="51"/>
        <v>14166.59878977444</v>
      </c>
      <c r="O143" s="143">
        <f t="shared" ca="1" si="51"/>
        <v>15063.234144581578</v>
      </c>
      <c r="P143" s="143">
        <f t="shared" ca="1" si="51"/>
        <v>16075.965971705995</v>
      </c>
      <c r="Q143" s="143">
        <f t="shared" ca="1" si="51"/>
        <v>17128.638357131771</v>
      </c>
      <c r="R143" s="143">
        <f t="shared" ca="1" si="51"/>
        <v>18224.831438927089</v>
      </c>
      <c r="S143" s="143">
        <f t="shared" ca="1" si="51"/>
        <v>19362.543290757963</v>
      </c>
      <c r="T143" s="143">
        <f t="shared" ca="1" si="51"/>
        <v>20543.771976634598</v>
      </c>
      <c r="U143" s="143">
        <f t="shared" ca="1" si="51"/>
        <v>21768.515550862983</v>
      </c>
      <c r="V143" s="143">
        <f t="shared" ca="1" si="51"/>
        <v>23036.772057996266</v>
      </c>
      <c r="W143" s="143">
        <f t="shared" ca="1" si="51"/>
        <v>23460.2340373773</v>
      </c>
      <c r="X143" s="143">
        <f t="shared" ca="1" si="51"/>
        <v>23381.501942282048</v>
      </c>
      <c r="Y143" s="143">
        <f t="shared" ca="1" si="51"/>
        <v>23302.371854743909</v>
      </c>
      <c r="Z143" s="143">
        <f t="shared" ca="1" si="51"/>
        <v>23222.508081183169</v>
      </c>
      <c r="AA143" s="143">
        <f t="shared" ca="1" si="51"/>
        <v>23142.242315280611</v>
      </c>
    </row>
    <row r="144" spans="2:27" s="36" customFormat="1" outlineLevel="1">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row>
    <row r="145" spans="1:27" s="36" customFormat="1" outlineLevel="1">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row>
    <row r="146" spans="1:27" s="36" customFormat="1" outlineLevel="1">
      <c r="B146" s="79" t="s">
        <v>64</v>
      </c>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row>
    <row r="147" spans="1:27" s="36" customFormat="1" outlineLevel="1">
      <c r="B147" s="79"/>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row>
    <row r="148" spans="1:27" s="36" customFormat="1" outlineLevel="1">
      <c r="B148" s="110" t="s">
        <v>171</v>
      </c>
      <c r="D148" s="102">
        <f>$D$115</f>
        <v>-500</v>
      </c>
      <c r="E148" s="102">
        <f t="shared" ref="E148:AA148" si="52">$D$115</f>
        <v>-500</v>
      </c>
      <c r="F148" s="102">
        <f t="shared" si="52"/>
        <v>-500</v>
      </c>
      <c r="G148" s="102">
        <f t="shared" si="52"/>
        <v>-500</v>
      </c>
      <c r="H148" s="102">
        <f t="shared" si="52"/>
        <v>-500</v>
      </c>
      <c r="I148" s="102">
        <f t="shared" si="52"/>
        <v>-500</v>
      </c>
      <c r="J148" s="102">
        <f t="shared" si="52"/>
        <v>-500</v>
      </c>
      <c r="K148" s="102">
        <f t="shared" si="52"/>
        <v>-500</v>
      </c>
      <c r="L148" s="102">
        <f t="shared" si="52"/>
        <v>-500</v>
      </c>
      <c r="M148" s="102">
        <f t="shared" si="52"/>
        <v>-500</v>
      </c>
      <c r="N148" s="102">
        <f t="shared" si="52"/>
        <v>-500</v>
      </c>
      <c r="O148" s="102">
        <f t="shared" si="52"/>
        <v>-500</v>
      </c>
      <c r="P148" s="102">
        <f t="shared" si="52"/>
        <v>-500</v>
      </c>
      <c r="Q148" s="102">
        <f t="shared" si="52"/>
        <v>-500</v>
      </c>
      <c r="R148" s="102">
        <f t="shared" si="52"/>
        <v>-500</v>
      </c>
      <c r="S148" s="102">
        <f t="shared" si="52"/>
        <v>-500</v>
      </c>
      <c r="T148" s="102">
        <f t="shared" si="52"/>
        <v>-500</v>
      </c>
      <c r="U148" s="102">
        <f t="shared" si="52"/>
        <v>-500</v>
      </c>
      <c r="V148" s="102">
        <f t="shared" si="52"/>
        <v>-500</v>
      </c>
      <c r="W148" s="102">
        <f t="shared" si="52"/>
        <v>-500</v>
      </c>
      <c r="X148" s="102">
        <f t="shared" si="52"/>
        <v>-500</v>
      </c>
      <c r="Y148" s="102">
        <f t="shared" si="52"/>
        <v>-500</v>
      </c>
      <c r="Z148" s="102">
        <f t="shared" si="52"/>
        <v>-500</v>
      </c>
      <c r="AA148" s="102">
        <f t="shared" si="52"/>
        <v>-500</v>
      </c>
    </row>
    <row r="149" spans="1:27" s="36" customFormat="1" outlineLevel="1">
      <c r="B149" s="110" t="s">
        <v>172</v>
      </c>
      <c r="D149" s="102">
        <f ca="1">D96</f>
        <v>-613.33705762494446</v>
      </c>
      <c r="E149" s="102">
        <f ca="1">D149+E96</f>
        <v>-1254.5739968704961</v>
      </c>
      <c r="F149" s="102">
        <f ca="1">E149+F96</f>
        <v>-1915.7090126319963</v>
      </c>
      <c r="G149" s="102">
        <f ca="1">F149+G96</f>
        <v>-2598.7402907566429</v>
      </c>
      <c r="H149" s="102">
        <f t="shared" ref="H149:AA149" ca="1" si="53">G149+H96</f>
        <v>-3303.6660079981357</v>
      </c>
      <c r="I149" s="102">
        <f t="shared" ca="1" si="53"/>
        <v>-4030.4843319710958</v>
      </c>
      <c r="J149" s="102">
        <f t="shared" ca="1" si="53"/>
        <v>-4779.1934211052549</v>
      </c>
      <c r="K149" s="102">
        <f t="shared" ca="1" si="53"/>
        <v>-5549.7914245994152</v>
      </c>
      <c r="L149" s="102">
        <f t="shared" ca="1" si="53"/>
        <v>-6344.2764823751813</v>
      </c>
      <c r="M149" s="102">
        <f t="shared" ca="1" si="53"/>
        <v>-7160.6467250304559</v>
      </c>
      <c r="N149" s="102">
        <f t="shared" ca="1" si="53"/>
        <v>-8000.9002737927058</v>
      </c>
      <c r="O149" s="102">
        <f t="shared" ca="1" si="53"/>
        <v>-8881.5152404719902</v>
      </c>
      <c r="P149" s="102">
        <f t="shared" ca="1" si="53"/>
        <v>-9880.4997274137586</v>
      </c>
      <c r="Q149" s="102">
        <f t="shared" ca="1" si="53"/>
        <v>-10920.021827451406</v>
      </c>
      <c r="R149" s="102">
        <f t="shared" ca="1" si="53"/>
        <v>-12004.079623858597</v>
      </c>
      <c r="S149" s="102">
        <f t="shared" ca="1" si="53"/>
        <v>-13130.671190301344</v>
      </c>
      <c r="T149" s="102">
        <f t="shared" ca="1" si="53"/>
        <v>-14301.79459078985</v>
      </c>
      <c r="U149" s="102">
        <f t="shared" ca="1" si="53"/>
        <v>-15517.447879630108</v>
      </c>
      <c r="V149" s="102">
        <f t="shared" ca="1" si="53"/>
        <v>-16777.62910137526</v>
      </c>
      <c r="W149" s="102">
        <f t="shared" ca="1" si="53"/>
        <v>-18078.336290776711</v>
      </c>
      <c r="X149" s="102">
        <f t="shared" ca="1" si="53"/>
        <v>-19409.567472734991</v>
      </c>
      <c r="Y149" s="102">
        <f t="shared" ca="1" si="53"/>
        <v>-20769.320662250386</v>
      </c>
      <c r="Z149" s="102">
        <f t="shared" ca="1" si="53"/>
        <v>-22153.533864373308</v>
      </c>
      <c r="AA149" s="102">
        <f t="shared" ca="1" si="53"/>
        <v>-23562.205074154423</v>
      </c>
    </row>
    <row r="150" spans="1:27" s="36" customFormat="1" outlineLevel="1">
      <c r="B150" s="110" t="s">
        <v>173</v>
      </c>
      <c r="D150" s="143">
        <f ca="1">SUM(D148:D149)</f>
        <v>-1113.3370576249445</v>
      </c>
      <c r="E150" s="143">
        <f t="shared" ref="E150:AA150" ca="1" si="54">SUM(E148:E149)</f>
        <v>-1754.5739968704961</v>
      </c>
      <c r="F150" s="143">
        <f t="shared" ca="1" si="54"/>
        <v>-2415.7090126319963</v>
      </c>
      <c r="G150" s="143">
        <f t="shared" ca="1" si="54"/>
        <v>-3098.7402907566429</v>
      </c>
      <c r="H150" s="143">
        <f t="shared" ca="1" si="54"/>
        <v>-3803.6660079981357</v>
      </c>
      <c r="I150" s="143">
        <f t="shared" ca="1" si="54"/>
        <v>-4530.4843319710963</v>
      </c>
      <c r="J150" s="143">
        <f t="shared" ca="1" si="54"/>
        <v>-5279.1934211052549</v>
      </c>
      <c r="K150" s="143">
        <f t="shared" ca="1" si="54"/>
        <v>-6049.7914245994152</v>
      </c>
      <c r="L150" s="143">
        <f t="shared" ca="1" si="54"/>
        <v>-6844.2764823751813</v>
      </c>
      <c r="M150" s="143">
        <f t="shared" ca="1" si="54"/>
        <v>-7660.6467250304559</v>
      </c>
      <c r="N150" s="143">
        <f t="shared" ca="1" si="54"/>
        <v>-8500.9002737927058</v>
      </c>
      <c r="O150" s="143">
        <f t="shared" ca="1" si="54"/>
        <v>-9381.5152404719902</v>
      </c>
      <c r="P150" s="143">
        <f t="shared" ca="1" si="54"/>
        <v>-10380.499727413759</v>
      </c>
      <c r="Q150" s="143">
        <f t="shared" ca="1" si="54"/>
        <v>-11420.021827451406</v>
      </c>
      <c r="R150" s="143">
        <f t="shared" ca="1" si="54"/>
        <v>-12504.079623858597</v>
      </c>
      <c r="S150" s="143">
        <f t="shared" ca="1" si="54"/>
        <v>-13630.671190301344</v>
      </c>
      <c r="T150" s="143">
        <f t="shared" ca="1" si="54"/>
        <v>-14801.79459078985</v>
      </c>
      <c r="U150" s="143">
        <f t="shared" ca="1" si="54"/>
        <v>-16017.447879630108</v>
      </c>
      <c r="V150" s="143">
        <f t="shared" ca="1" si="54"/>
        <v>-17277.62910137526</v>
      </c>
      <c r="W150" s="143">
        <f t="shared" ca="1" si="54"/>
        <v>-18578.336290776711</v>
      </c>
      <c r="X150" s="143">
        <f t="shared" ca="1" si="54"/>
        <v>-19909.567472734991</v>
      </c>
      <c r="Y150" s="143">
        <f t="shared" ca="1" si="54"/>
        <v>-21269.320662250386</v>
      </c>
      <c r="Z150" s="143">
        <f t="shared" ca="1" si="54"/>
        <v>-22653.533864373308</v>
      </c>
      <c r="AA150" s="143">
        <f t="shared" ca="1" si="54"/>
        <v>-24062.205074154423</v>
      </c>
    </row>
    <row r="151" spans="1:27" s="36" customFormat="1" outlineLevel="1">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row>
    <row r="152" spans="1:27" s="36" customFormat="1" outlineLevel="1">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row>
    <row r="153" spans="1:27" s="36" customFormat="1" outlineLevel="1">
      <c r="B153" s="110" t="s">
        <v>170</v>
      </c>
      <c r="D153" s="102">
        <f ca="1">D143+D150</f>
        <v>5531.3857305936071</v>
      </c>
      <c r="E153" s="102">
        <f t="shared" ref="E153:AA153" ca="1" si="55">E143+E150</f>
        <v>5540.1820091324189</v>
      </c>
      <c r="F153" s="102">
        <f t="shared" ca="1" si="55"/>
        <v>5550.0082876712331</v>
      </c>
      <c r="G153" s="102">
        <f t="shared" ca="1" si="55"/>
        <v>5560.8645662100462</v>
      </c>
      <c r="H153" s="102">
        <f t="shared" ca="1" si="55"/>
        <v>5572.7508447488599</v>
      </c>
      <c r="I153" s="102">
        <f t="shared" ca="1" si="55"/>
        <v>5585.6671232876706</v>
      </c>
      <c r="J153" s="102">
        <f t="shared" ca="1" si="55"/>
        <v>5599.6134018264829</v>
      </c>
      <c r="K153" s="102">
        <f t="shared" ca="1" si="55"/>
        <v>5614.5896803652968</v>
      </c>
      <c r="L153" s="102">
        <f t="shared" ca="1" si="55"/>
        <v>5630.5959589041095</v>
      </c>
      <c r="M153" s="102">
        <f t="shared" ca="1" si="55"/>
        <v>5647.6322374429219</v>
      </c>
      <c r="N153" s="102">
        <f t="shared" ca="1" si="55"/>
        <v>5665.6985159817341</v>
      </c>
      <c r="O153" s="102">
        <f t="shared" ca="1" si="55"/>
        <v>5681.718904109588</v>
      </c>
      <c r="P153" s="102">
        <f t="shared" ca="1" si="55"/>
        <v>5695.4662442922363</v>
      </c>
      <c r="Q153" s="102">
        <f t="shared" ca="1" si="55"/>
        <v>5708.6165296803647</v>
      </c>
      <c r="R153" s="102">
        <f t="shared" ca="1" si="55"/>
        <v>5720.7518150684919</v>
      </c>
      <c r="S153" s="102">
        <f t="shared" ca="1" si="55"/>
        <v>5731.8721004566196</v>
      </c>
      <c r="T153" s="102">
        <f t="shared" ca="1" si="55"/>
        <v>5741.9773858447479</v>
      </c>
      <c r="U153" s="102">
        <f t="shared" ca="1" si="55"/>
        <v>5751.067671232875</v>
      </c>
      <c r="V153" s="102">
        <f t="shared" ca="1" si="55"/>
        <v>5759.1429566210063</v>
      </c>
      <c r="W153" s="102">
        <f t="shared" ca="1" si="55"/>
        <v>4881.897746600589</v>
      </c>
      <c r="X153" s="102">
        <f t="shared" ca="1" si="55"/>
        <v>3471.9344695470572</v>
      </c>
      <c r="Y153" s="102">
        <f t="shared" ca="1" si="55"/>
        <v>2033.0511924935236</v>
      </c>
      <c r="Z153" s="102">
        <f t="shared" ca="1" si="55"/>
        <v>568.97421680986008</v>
      </c>
      <c r="AA153" s="102">
        <f t="shared" ca="1" si="55"/>
        <v>-919.96275887381125</v>
      </c>
    </row>
    <row r="154" spans="1:27" s="36" customFormat="1" outlineLevel="1">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row>
    <row r="155" spans="1:27" s="80" customFormat="1" outlineLevel="1">
      <c r="B155" s="106" t="s">
        <v>68</v>
      </c>
      <c r="D155" s="102">
        <f ca="1">D134-D153</f>
        <v>0</v>
      </c>
      <c r="E155" s="102">
        <f t="shared" ref="E155:AA155" ca="1" si="56">E134-E153</f>
        <v>0</v>
      </c>
      <c r="F155" s="102">
        <f t="shared" ca="1" si="56"/>
        <v>0</v>
      </c>
      <c r="G155" s="102">
        <f t="shared" ca="1" si="56"/>
        <v>0</v>
      </c>
      <c r="H155" s="102">
        <f t="shared" ca="1" si="56"/>
        <v>0</v>
      </c>
      <c r="I155" s="102">
        <f t="shared" ca="1" si="56"/>
        <v>0</v>
      </c>
      <c r="J155" s="102">
        <f t="shared" ca="1" si="56"/>
        <v>0</v>
      </c>
      <c r="K155" s="102">
        <f t="shared" ca="1" si="56"/>
        <v>0</v>
      </c>
      <c r="L155" s="102">
        <f t="shared" ca="1" si="56"/>
        <v>0</v>
      </c>
      <c r="M155" s="102">
        <f t="shared" ca="1" si="56"/>
        <v>0</v>
      </c>
      <c r="N155" s="102">
        <f t="shared" ca="1" si="56"/>
        <v>0</v>
      </c>
      <c r="O155" s="102">
        <f ca="1">O134-O153</f>
        <v>0</v>
      </c>
      <c r="P155" s="102">
        <f t="shared" ca="1" si="56"/>
        <v>0</v>
      </c>
      <c r="Q155" s="102">
        <f t="shared" ca="1" si="56"/>
        <v>0</v>
      </c>
      <c r="R155" s="102">
        <f t="shared" ca="1" si="56"/>
        <v>0</v>
      </c>
      <c r="S155" s="102">
        <f t="shared" ca="1" si="56"/>
        <v>0</v>
      </c>
      <c r="T155" s="102">
        <f t="shared" ca="1" si="56"/>
        <v>0</v>
      </c>
      <c r="U155" s="102">
        <f t="shared" ca="1" si="56"/>
        <v>0</v>
      </c>
      <c r="V155" s="102">
        <f t="shared" ca="1" si="56"/>
        <v>-7.2759576141834259E-12</v>
      </c>
      <c r="W155" s="102">
        <f t="shared" ca="1" si="56"/>
        <v>0</v>
      </c>
      <c r="X155" s="102">
        <f t="shared" ca="1" si="56"/>
        <v>-8.1854523159563541E-12</v>
      </c>
      <c r="Y155" s="102">
        <f t="shared" ca="1" si="56"/>
        <v>-6.8212102632969618E-12</v>
      </c>
      <c r="Z155" s="102">
        <f t="shared" ca="1" si="56"/>
        <v>-1.3642420526593924E-11</v>
      </c>
      <c r="AA155" s="102">
        <f t="shared" ca="1" si="56"/>
        <v>-1.2732925824820995E-11</v>
      </c>
    </row>
    <row r="156" spans="1:27" s="95" customFormat="1" outlineLevel="1"/>
    <row r="157" spans="1:27" s="36" customFormat="1" outlineLevel="1"/>
    <row r="158" spans="1:27" s="36" customFormat="1"/>
    <row r="159" spans="1:27">
      <c r="A159" s="27" t="s">
        <v>38</v>
      </c>
      <c r="B159" s="44" t="s">
        <v>161</v>
      </c>
      <c r="C159" s="44"/>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row>
    <row r="161" spans="2:28" outlineLevel="1"/>
    <row r="162" spans="2:28" outlineLevel="1">
      <c r="B162" s="79" t="s">
        <v>119</v>
      </c>
    </row>
    <row r="163" spans="2:28" outlineLevel="1"/>
    <row r="164" spans="2:28" outlineLevel="1">
      <c r="B164" s="110" t="s">
        <v>51</v>
      </c>
      <c r="D164" s="102">
        <f>D115</f>
        <v>-500</v>
      </c>
      <c r="E164" s="102">
        <f ca="1">D166</f>
        <v>499.99999999999989</v>
      </c>
      <c r="F164" s="102">
        <f t="shared" ref="F164:AA164" ca="1" si="57">E166</f>
        <v>499.99999999999989</v>
      </c>
      <c r="G164" s="102">
        <f t="shared" ca="1" si="57"/>
        <v>499.99999999999989</v>
      </c>
      <c r="H164" s="102">
        <f t="shared" ca="1" si="57"/>
        <v>499.99999999999989</v>
      </c>
      <c r="I164" s="102">
        <f t="shared" ca="1" si="57"/>
        <v>499.99999999999989</v>
      </c>
      <c r="J164" s="102">
        <f t="shared" ca="1" si="57"/>
        <v>499.99999999999989</v>
      </c>
      <c r="K164" s="102">
        <f t="shared" ca="1" si="57"/>
        <v>499.99999999999989</v>
      </c>
      <c r="L164" s="102">
        <f t="shared" ca="1" si="57"/>
        <v>499.99999999999989</v>
      </c>
      <c r="M164" s="102">
        <f t="shared" ca="1" si="57"/>
        <v>499.99999999999989</v>
      </c>
      <c r="N164" s="102">
        <f t="shared" ca="1" si="57"/>
        <v>499.99999999999989</v>
      </c>
      <c r="O164" s="102">
        <f t="shared" ca="1" si="57"/>
        <v>499.99999999999989</v>
      </c>
      <c r="P164" s="102">
        <f t="shared" ca="1" si="57"/>
        <v>499.99999999999989</v>
      </c>
      <c r="Q164" s="102">
        <f t="shared" ca="1" si="57"/>
        <v>499.99999999999989</v>
      </c>
      <c r="R164" s="102">
        <f t="shared" ca="1" si="57"/>
        <v>499.99999999999989</v>
      </c>
      <c r="S164" s="102">
        <f t="shared" ca="1" si="57"/>
        <v>499.99999999999989</v>
      </c>
      <c r="T164" s="102">
        <f t="shared" ca="1" si="57"/>
        <v>499.99999999999989</v>
      </c>
      <c r="U164" s="102">
        <f t="shared" ca="1" si="57"/>
        <v>499.99999999999989</v>
      </c>
      <c r="V164" s="102">
        <f t="shared" ca="1" si="57"/>
        <v>499.99999999999989</v>
      </c>
      <c r="W164" s="102">
        <f t="shared" ca="1" si="57"/>
        <v>499.99999999999989</v>
      </c>
      <c r="X164" s="102">
        <f t="shared" ca="1" si="57"/>
        <v>-384.30549540854429</v>
      </c>
      <c r="Y164" s="102">
        <f t="shared" ca="1" si="57"/>
        <v>-1800.3140578502048</v>
      </c>
      <c r="Z164" s="102">
        <f t="shared" ca="1" si="57"/>
        <v>-3244.2276202918647</v>
      </c>
      <c r="AA164" s="102">
        <f t="shared" ca="1" si="57"/>
        <v>-4713.0776553362648</v>
      </c>
    </row>
    <row r="165" spans="2:28" outlineLevel="1">
      <c r="B165" s="110" t="s">
        <v>120</v>
      </c>
      <c r="D165" s="102">
        <f ca="1">D116</f>
        <v>999.99999999999989</v>
      </c>
      <c r="E165" s="102">
        <f t="shared" ref="E165:AA165" ca="1" si="58">E116</f>
        <v>0</v>
      </c>
      <c r="F165" s="126">
        <f t="shared" ca="1" si="58"/>
        <v>0</v>
      </c>
      <c r="G165" s="126">
        <f t="shared" ca="1" si="58"/>
        <v>0</v>
      </c>
      <c r="H165" s="126">
        <f t="shared" ca="1" si="58"/>
        <v>0</v>
      </c>
      <c r="I165" s="126">
        <f t="shared" ca="1" si="58"/>
        <v>0</v>
      </c>
      <c r="J165" s="126">
        <f t="shared" ca="1" si="58"/>
        <v>0</v>
      </c>
      <c r="K165" s="126">
        <f t="shared" ca="1" si="58"/>
        <v>0</v>
      </c>
      <c r="L165" s="126">
        <f t="shared" ca="1" si="58"/>
        <v>0</v>
      </c>
      <c r="M165" s="126">
        <f t="shared" ca="1" si="58"/>
        <v>0</v>
      </c>
      <c r="N165" s="126">
        <f t="shared" ca="1" si="58"/>
        <v>0</v>
      </c>
      <c r="O165" s="126">
        <f t="shared" ca="1" si="58"/>
        <v>0</v>
      </c>
      <c r="P165" s="126">
        <f t="shared" ca="1" si="58"/>
        <v>0</v>
      </c>
      <c r="Q165" s="126">
        <f t="shared" ca="1" si="58"/>
        <v>0</v>
      </c>
      <c r="R165" s="126">
        <f t="shared" ca="1" si="58"/>
        <v>0</v>
      </c>
      <c r="S165" s="126">
        <f t="shared" ca="1" si="58"/>
        <v>0</v>
      </c>
      <c r="T165" s="126">
        <f t="shared" ca="1" si="58"/>
        <v>0</v>
      </c>
      <c r="U165" s="126">
        <f t="shared" ca="1" si="58"/>
        <v>0</v>
      </c>
      <c r="V165" s="126">
        <f t="shared" ca="1" si="58"/>
        <v>0</v>
      </c>
      <c r="W165" s="126">
        <f t="shared" ca="1" si="58"/>
        <v>-884.30549540854418</v>
      </c>
      <c r="X165" s="126">
        <f t="shared" ca="1" si="58"/>
        <v>-1416.0085624416604</v>
      </c>
      <c r="Y165" s="126">
        <f t="shared" ca="1" si="58"/>
        <v>-1443.9135624416601</v>
      </c>
      <c r="Z165" s="126">
        <f t="shared" ca="1" si="58"/>
        <v>-1468.8500350443999</v>
      </c>
      <c r="AA165" s="126">
        <f t="shared" ca="1" si="58"/>
        <v>-1493.2025350443998</v>
      </c>
    </row>
    <row r="166" spans="2:28" outlineLevel="1">
      <c r="B166" s="110" t="s">
        <v>52</v>
      </c>
      <c r="D166" s="143">
        <f ca="1">D164+D165</f>
        <v>499.99999999999989</v>
      </c>
      <c r="E166" s="143">
        <f ca="1">E164+E165</f>
        <v>499.99999999999989</v>
      </c>
      <c r="F166" s="143">
        <f t="shared" ref="F166:AA166" ca="1" si="59">F164+F165</f>
        <v>499.99999999999989</v>
      </c>
      <c r="G166" s="143">
        <f t="shared" ca="1" si="59"/>
        <v>499.99999999999989</v>
      </c>
      <c r="H166" s="143">
        <f t="shared" ca="1" si="59"/>
        <v>499.99999999999989</v>
      </c>
      <c r="I166" s="143">
        <f t="shared" ca="1" si="59"/>
        <v>499.99999999999989</v>
      </c>
      <c r="J166" s="143">
        <f t="shared" ca="1" si="59"/>
        <v>499.99999999999989</v>
      </c>
      <c r="K166" s="143">
        <f t="shared" ca="1" si="59"/>
        <v>499.99999999999989</v>
      </c>
      <c r="L166" s="143">
        <f t="shared" ca="1" si="59"/>
        <v>499.99999999999989</v>
      </c>
      <c r="M166" s="143">
        <f t="shared" ca="1" si="59"/>
        <v>499.99999999999989</v>
      </c>
      <c r="N166" s="143">
        <f t="shared" ca="1" si="59"/>
        <v>499.99999999999989</v>
      </c>
      <c r="O166" s="143">
        <f t="shared" ca="1" si="59"/>
        <v>499.99999999999989</v>
      </c>
      <c r="P166" s="143">
        <f t="shared" ca="1" si="59"/>
        <v>499.99999999999989</v>
      </c>
      <c r="Q166" s="143">
        <f t="shared" ca="1" si="59"/>
        <v>499.99999999999989</v>
      </c>
      <c r="R166" s="143">
        <f t="shared" ca="1" si="59"/>
        <v>499.99999999999989</v>
      </c>
      <c r="S166" s="143">
        <f t="shared" ca="1" si="59"/>
        <v>499.99999999999989</v>
      </c>
      <c r="T166" s="143">
        <f t="shared" ca="1" si="59"/>
        <v>499.99999999999989</v>
      </c>
      <c r="U166" s="143">
        <f t="shared" ca="1" si="59"/>
        <v>499.99999999999989</v>
      </c>
      <c r="V166" s="143">
        <f t="shared" ca="1" si="59"/>
        <v>499.99999999999989</v>
      </c>
      <c r="W166" s="143">
        <f t="shared" ca="1" si="59"/>
        <v>-384.30549540854429</v>
      </c>
      <c r="X166" s="143">
        <f t="shared" ca="1" si="59"/>
        <v>-1800.3140578502048</v>
      </c>
      <c r="Y166" s="143">
        <f t="shared" ca="1" si="59"/>
        <v>-3244.2276202918647</v>
      </c>
      <c r="Z166" s="143">
        <f t="shared" ca="1" si="59"/>
        <v>-4713.0776553362648</v>
      </c>
      <c r="AA166" s="143">
        <f t="shared" ca="1" si="59"/>
        <v>-6206.2801903806649</v>
      </c>
    </row>
    <row r="167" spans="2:28" outlineLevel="1"/>
    <row r="168" spans="2:28" outlineLevel="1">
      <c r="B168" s="110"/>
    </row>
    <row r="169" spans="2:28" outlineLevel="1">
      <c r="B169" s="79" t="s">
        <v>122</v>
      </c>
    </row>
    <row r="170" spans="2:28" outlineLevel="1"/>
    <row r="171" spans="2:28" outlineLevel="1">
      <c r="B171" s="110" t="s">
        <v>51</v>
      </c>
      <c r="D171" s="102">
        <f>Inputs!$C$33</f>
        <v>5000</v>
      </c>
      <c r="E171" s="102">
        <f ca="1">D173</f>
        <v>4928.1563833111386</v>
      </c>
      <c r="F171" s="102">
        <f t="shared" ref="F171:AA171" ca="1" si="60">E173</f>
        <v>4855.9526482428837</v>
      </c>
      <c r="G171" s="102">
        <f t="shared" ca="1" si="60"/>
        <v>4783.386989690578</v>
      </c>
      <c r="H171" s="102">
        <f t="shared" ca="1" si="60"/>
        <v>4710.4575935014182</v>
      </c>
      <c r="I171" s="102">
        <f t="shared" ca="1" si="60"/>
        <v>4637.1626364291051</v>
      </c>
      <c r="J171" s="102">
        <f t="shared" ca="1" si="60"/>
        <v>4563.5002860882587</v>
      </c>
      <c r="K171" s="102">
        <f t="shared" ca="1" si="60"/>
        <v>4489.468700908611</v>
      </c>
      <c r="L171" s="102">
        <f t="shared" ca="1" si="60"/>
        <v>4415.0660300889658</v>
      </c>
      <c r="M171" s="102">
        <f t="shared" ca="1" si="60"/>
        <v>4340.2904135509261</v>
      </c>
      <c r="N171" s="102">
        <f t="shared" ca="1" si="60"/>
        <v>4265.1399818923946</v>
      </c>
      <c r="O171" s="102">
        <f t="shared" ca="1" si="60"/>
        <v>4189.6128563408383</v>
      </c>
      <c r="P171" s="102">
        <f t="shared" ca="1" si="60"/>
        <v>4113.7071487063167</v>
      </c>
      <c r="Q171" s="102">
        <f t="shared" ca="1" si="60"/>
        <v>4037.4209613342787</v>
      </c>
      <c r="R171" s="102">
        <f t="shared" ca="1" si="60"/>
        <v>3960.7523870581199</v>
      </c>
      <c r="S171" s="102">
        <f t="shared" ca="1" si="60"/>
        <v>3883.6995091515046</v>
      </c>
      <c r="T171" s="102">
        <f t="shared" ca="1" si="60"/>
        <v>3806.260401280445</v>
      </c>
      <c r="U171" s="102">
        <f t="shared" ca="1" si="60"/>
        <v>3728.4331274551446</v>
      </c>
      <c r="V171" s="102">
        <f t="shared" ca="1" si="60"/>
        <v>3650.2157419815967</v>
      </c>
      <c r="W171" s="102">
        <f t="shared" ca="1" si="60"/>
        <v>3571.6062894129436</v>
      </c>
      <c r="X171" s="102">
        <f t="shared" ca="1" si="60"/>
        <v>3492.6028045005878</v>
      </c>
      <c r="Y171" s="102">
        <f t="shared" ca="1" si="60"/>
        <v>3413.2033121450622</v>
      </c>
      <c r="Z171" s="102">
        <f t="shared" ca="1" si="60"/>
        <v>3333.4058273466521</v>
      </c>
      <c r="AA171" s="102">
        <f t="shared" ca="1" si="60"/>
        <v>3253.2083551557685</v>
      </c>
      <c r="AB171" s="102"/>
    </row>
    <row r="172" spans="2:28" outlineLevel="1">
      <c r="B172" s="110" t="s">
        <v>163</v>
      </c>
      <c r="D172" s="102">
        <f ca="1">D178</f>
        <v>-71.843616688861715</v>
      </c>
      <c r="E172" s="102">
        <f t="shared" ref="E172:G172" ca="1" si="61">E178</f>
        <v>-72.203735068254517</v>
      </c>
      <c r="F172" s="102">
        <f t="shared" ca="1" si="61"/>
        <v>-72.565658552305905</v>
      </c>
      <c r="G172" s="102">
        <f t="shared" ca="1" si="61"/>
        <v>-72.929396189159576</v>
      </c>
      <c r="H172" s="102">
        <f t="shared" ref="H172:AA172" ca="1" si="62">H178</f>
        <v>-73.294957072313267</v>
      </c>
      <c r="I172" s="102">
        <f t="shared" ca="1" si="62"/>
        <v>-73.66235034084616</v>
      </c>
      <c r="J172" s="102">
        <f t="shared" ca="1" si="62"/>
        <v>-74.031585179647394</v>
      </c>
      <c r="K172" s="102">
        <f t="shared" ca="1" si="62"/>
        <v>-74.402670819645635</v>
      </c>
      <c r="L172" s="102">
        <f t="shared" ca="1" si="62"/>
        <v>-74.775616538039841</v>
      </c>
      <c r="M172" s="102">
        <f t="shared" ca="1" si="62"/>
        <v>-75.150431658531275</v>
      </c>
      <c r="N172" s="102">
        <f t="shared" ca="1" si="62"/>
        <v>-75.52712555155648</v>
      </c>
      <c r="O172" s="102">
        <f t="shared" ca="1" si="62"/>
        <v>-75.90570763452169</v>
      </c>
      <c r="P172" s="102">
        <f t="shared" ca="1" si="62"/>
        <v>-76.286187372038086</v>
      </c>
      <c r="Q172" s="102">
        <f t="shared" ca="1" si="62"/>
        <v>-76.66857427615858</v>
      </c>
      <c r="R172" s="102">
        <f t="shared" ca="1" si="62"/>
        <v>-77.052877906615507</v>
      </c>
      <c r="S172" s="102">
        <f t="shared" ca="1" si="62"/>
        <v>-77.43910787105969</v>
      </c>
      <c r="T172" s="102">
        <f t="shared" ca="1" si="62"/>
        <v>-77.827273825300594</v>
      </c>
      <c r="U172" s="102">
        <f t="shared" ca="1" si="62"/>
        <v>-78.217385473547722</v>
      </c>
      <c r="V172" s="102">
        <f t="shared" ca="1" si="62"/>
        <v>-78.609452568653211</v>
      </c>
      <c r="W172" s="102">
        <f t="shared" ca="1" si="62"/>
        <v>-79.003484912355745</v>
      </c>
      <c r="X172" s="102">
        <f t="shared" ca="1" si="62"/>
        <v>-79.399492355525439</v>
      </c>
      <c r="Y172" s="102">
        <f t="shared" ca="1" si="62"/>
        <v>-79.797484798410281</v>
      </c>
      <c r="Z172" s="102">
        <f t="shared" ca="1" si="62"/>
        <v>-80.197472190883516</v>
      </c>
      <c r="AA172" s="102">
        <f t="shared" ca="1" si="62"/>
        <v>-80.599464532692451</v>
      </c>
      <c r="AB172" s="102"/>
    </row>
    <row r="173" spans="2:28" outlineLevel="1">
      <c r="B173" s="110" t="s">
        <v>52</v>
      </c>
      <c r="D173" s="102">
        <f ca="1">SUM(D171:D172)</f>
        <v>4928.1563833111386</v>
      </c>
      <c r="E173" s="102">
        <f ca="1">SUM(E171:E172)</f>
        <v>4855.9526482428837</v>
      </c>
      <c r="F173" s="102">
        <f t="shared" ref="F173:AA173" ca="1" si="63">SUM(F171:F172)</f>
        <v>4783.386989690578</v>
      </c>
      <c r="G173" s="102">
        <f t="shared" ca="1" si="63"/>
        <v>4710.4575935014182</v>
      </c>
      <c r="H173" s="102">
        <f t="shared" ca="1" si="63"/>
        <v>4637.1626364291051</v>
      </c>
      <c r="I173" s="102">
        <f t="shared" ca="1" si="63"/>
        <v>4563.5002860882587</v>
      </c>
      <c r="J173" s="102">
        <f t="shared" ca="1" si="63"/>
        <v>4489.468700908611</v>
      </c>
      <c r="K173" s="102">
        <f t="shared" ca="1" si="63"/>
        <v>4415.0660300889658</v>
      </c>
      <c r="L173" s="102">
        <f t="shared" ca="1" si="63"/>
        <v>4340.2904135509261</v>
      </c>
      <c r="M173" s="102">
        <f t="shared" ca="1" si="63"/>
        <v>4265.1399818923946</v>
      </c>
      <c r="N173" s="102">
        <f t="shared" ca="1" si="63"/>
        <v>4189.6128563408383</v>
      </c>
      <c r="O173" s="102">
        <f t="shared" ca="1" si="63"/>
        <v>4113.7071487063167</v>
      </c>
      <c r="P173" s="102">
        <f t="shared" ca="1" si="63"/>
        <v>4037.4209613342787</v>
      </c>
      <c r="Q173" s="102">
        <f t="shared" ca="1" si="63"/>
        <v>3960.7523870581199</v>
      </c>
      <c r="R173" s="102">
        <f t="shared" ca="1" si="63"/>
        <v>3883.6995091515046</v>
      </c>
      <c r="S173" s="102">
        <f t="shared" ca="1" si="63"/>
        <v>3806.260401280445</v>
      </c>
      <c r="T173" s="102">
        <f t="shared" ca="1" si="63"/>
        <v>3728.4331274551446</v>
      </c>
      <c r="U173" s="102">
        <f t="shared" ca="1" si="63"/>
        <v>3650.2157419815967</v>
      </c>
      <c r="V173" s="102">
        <f t="shared" ca="1" si="63"/>
        <v>3571.6062894129436</v>
      </c>
      <c r="W173" s="102">
        <f t="shared" ca="1" si="63"/>
        <v>3492.6028045005878</v>
      </c>
      <c r="X173" s="102">
        <f t="shared" ca="1" si="63"/>
        <v>3413.2033121450622</v>
      </c>
      <c r="Y173" s="102">
        <f t="shared" ca="1" si="63"/>
        <v>3333.4058273466521</v>
      </c>
      <c r="Z173" s="102">
        <f t="shared" ca="1" si="63"/>
        <v>3253.2083551557685</v>
      </c>
      <c r="AA173" s="102">
        <f t="shared" ca="1" si="63"/>
        <v>3172.6088906230761</v>
      </c>
      <c r="AB173" s="102"/>
    </row>
    <row r="174" spans="2:28" outlineLevel="1">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row>
    <row r="175" spans="2:28" outlineLevel="1">
      <c r="B175" s="110" t="s">
        <v>121</v>
      </c>
      <c r="D175" s="146">
        <f>Inputs!$C$35</f>
        <v>0.06</v>
      </c>
      <c r="E175" s="146">
        <f>Inputs!$C$35</f>
        <v>0.06</v>
      </c>
      <c r="F175" s="146">
        <f>Inputs!$C$35</f>
        <v>0.06</v>
      </c>
      <c r="G175" s="146">
        <f>Inputs!$C$35</f>
        <v>0.06</v>
      </c>
      <c r="H175" s="146">
        <f>Inputs!$C$35</f>
        <v>0.06</v>
      </c>
      <c r="I175" s="146">
        <f>Inputs!$C$35</f>
        <v>0.06</v>
      </c>
      <c r="J175" s="146">
        <f>Inputs!$C$35</f>
        <v>0.06</v>
      </c>
      <c r="K175" s="146">
        <f>Inputs!$C$35</f>
        <v>0.06</v>
      </c>
      <c r="L175" s="146">
        <f>Inputs!$C$35</f>
        <v>0.06</v>
      </c>
      <c r="M175" s="146">
        <f>Inputs!$C$35</f>
        <v>0.06</v>
      </c>
      <c r="N175" s="146">
        <f>Inputs!$C$35</f>
        <v>0.06</v>
      </c>
      <c r="O175" s="146">
        <f>Inputs!$C$35</f>
        <v>0.06</v>
      </c>
      <c r="P175" s="146">
        <f>Inputs!$C$35</f>
        <v>0.06</v>
      </c>
      <c r="Q175" s="146">
        <f>Inputs!$C$35</f>
        <v>0.06</v>
      </c>
      <c r="R175" s="146">
        <f>Inputs!$C$35</f>
        <v>0.06</v>
      </c>
      <c r="S175" s="146">
        <f>Inputs!$C$35</f>
        <v>0.06</v>
      </c>
      <c r="T175" s="146">
        <f>Inputs!$C$35</f>
        <v>0.06</v>
      </c>
      <c r="U175" s="146">
        <f>Inputs!$C$35</f>
        <v>0.06</v>
      </c>
      <c r="V175" s="146">
        <f>Inputs!$C$35</f>
        <v>0.06</v>
      </c>
      <c r="W175" s="146">
        <f>Inputs!$C$35</f>
        <v>0.06</v>
      </c>
      <c r="X175" s="146">
        <f>Inputs!$C$35</f>
        <v>0.06</v>
      </c>
      <c r="Y175" s="146">
        <f>Inputs!$C$35</f>
        <v>0.06</v>
      </c>
      <c r="Z175" s="146">
        <f>Inputs!$C$35</f>
        <v>0.06</v>
      </c>
      <c r="AA175" s="146">
        <f>Inputs!$C$35</f>
        <v>0.06</v>
      </c>
      <c r="AB175" s="102"/>
    </row>
    <row r="176" spans="2:28" outlineLevel="1">
      <c r="B176" s="110" t="s">
        <v>123</v>
      </c>
      <c r="D176" s="102">
        <f ca="1">AVERAGE(D173,D171)*(D175/12)</f>
        <v>24.820390958277848</v>
      </c>
      <c r="E176" s="102">
        <f ca="1">AVERAGE(E173,E171)*(E175/12)</f>
        <v>24.460272578885057</v>
      </c>
      <c r="F176" s="102">
        <f t="shared" ref="F176:AA176" ca="1" si="64">AVERAGE(F173,F171)*(F175/12)</f>
        <v>24.098349094833658</v>
      </c>
      <c r="G176" s="102">
        <f t="shared" ca="1" si="64"/>
        <v>23.734611457979991</v>
      </c>
      <c r="H176" s="102">
        <f t="shared" ca="1" si="64"/>
        <v>23.369050574826307</v>
      </c>
      <c r="I176" s="102">
        <f t="shared" ca="1" si="64"/>
        <v>23.00165730629341</v>
      </c>
      <c r="J176" s="102">
        <f t="shared" ca="1" si="64"/>
        <v>22.632422467492173</v>
      </c>
      <c r="K176" s="102">
        <f t="shared" ca="1" si="64"/>
        <v>22.261336827493942</v>
      </c>
      <c r="L176" s="102">
        <f t="shared" ca="1" si="64"/>
        <v>21.888391109099729</v>
      </c>
      <c r="M176" s="102">
        <f t="shared" ca="1" si="64"/>
        <v>21.513575988608299</v>
      </c>
      <c r="N176" s="102">
        <f t="shared" ca="1" si="64"/>
        <v>21.136882095583083</v>
      </c>
      <c r="O176" s="102">
        <f t="shared" ca="1" si="64"/>
        <v>20.758300012617887</v>
      </c>
      <c r="P176" s="102">
        <f t="shared" ca="1" si="64"/>
        <v>20.377820275101492</v>
      </c>
      <c r="Q176" s="102">
        <f t="shared" ca="1" si="64"/>
        <v>19.995433370980997</v>
      </c>
      <c r="R176" s="102">
        <f t="shared" ca="1" si="64"/>
        <v>19.61112974052406</v>
      </c>
      <c r="S176" s="102">
        <f t="shared" ca="1" si="64"/>
        <v>19.224899776079873</v>
      </c>
      <c r="T176" s="102">
        <f t="shared" ca="1" si="64"/>
        <v>18.836733821838976</v>
      </c>
      <c r="U176" s="102">
        <f t="shared" ca="1" si="64"/>
        <v>18.446622173591855</v>
      </c>
      <c r="V176" s="102">
        <f t="shared" ca="1" si="64"/>
        <v>18.054555078486352</v>
      </c>
      <c r="W176" s="102">
        <f t="shared" ca="1" si="64"/>
        <v>17.660522734783829</v>
      </c>
      <c r="X176" s="102">
        <f t="shared" ca="1" si="64"/>
        <v>17.264515291614124</v>
      </c>
      <c r="Y176" s="102">
        <f t="shared" ca="1" si="64"/>
        <v>16.866522848729286</v>
      </c>
      <c r="Z176" s="102">
        <f t="shared" ca="1" si="64"/>
        <v>16.46653545625605</v>
      </c>
      <c r="AA176" s="102">
        <f t="shared" ca="1" si="64"/>
        <v>16.064543114447112</v>
      </c>
      <c r="AB176" s="102"/>
    </row>
    <row r="177" spans="1:28" outlineLevel="1">
      <c r="B177" s="105"/>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row>
    <row r="178" spans="1:28" outlineLevel="1">
      <c r="B178" s="110" t="s">
        <v>50</v>
      </c>
      <c r="D178" s="102">
        <f ca="1">-(-PMT(Inputs!$C$35/12,Inputs!$C$34*12,Inputs!$C$33)-Model!D176)</f>
        <v>-71.843616688861715</v>
      </c>
      <c r="E178" s="102">
        <f ca="1">-(-PMT(Inputs!$C$35/12,Inputs!$C$34*12,Inputs!$C$33)-Model!E176)</f>
        <v>-72.203735068254517</v>
      </c>
      <c r="F178" s="102">
        <f ca="1">-(-PMT(Inputs!$C$35/12,Inputs!$C$34*12,Inputs!$C$33)-Model!F176)</f>
        <v>-72.565658552305905</v>
      </c>
      <c r="G178" s="102">
        <f ca="1">-(-PMT(Inputs!$C$35/12,Inputs!$C$34*12,Inputs!$C$33)-Model!G176)</f>
        <v>-72.929396189159576</v>
      </c>
      <c r="H178" s="102">
        <f ca="1">-(-PMT(Inputs!$C$35/12,Inputs!$C$34*12,Inputs!$C$33)-Model!H176)</f>
        <v>-73.294957072313267</v>
      </c>
      <c r="I178" s="102">
        <f ca="1">-(-PMT(Inputs!$C$35/12,Inputs!$C$34*12,Inputs!$C$33)-Model!I176)</f>
        <v>-73.66235034084616</v>
      </c>
      <c r="J178" s="102">
        <f ca="1">-(-PMT(Inputs!$C$35/12,Inputs!$C$34*12,Inputs!$C$33)-Model!J176)</f>
        <v>-74.031585179647394</v>
      </c>
      <c r="K178" s="102">
        <f ca="1">-(-PMT(Inputs!$C$35/12,Inputs!$C$34*12,Inputs!$C$33)-Model!K176)</f>
        <v>-74.402670819645635</v>
      </c>
      <c r="L178" s="102">
        <f ca="1">-(-PMT(Inputs!$C$35/12,Inputs!$C$34*12,Inputs!$C$33)-Model!L176)</f>
        <v>-74.775616538039841</v>
      </c>
      <c r="M178" s="102">
        <f ca="1">-(-PMT(Inputs!$C$35/12,Inputs!$C$34*12,Inputs!$C$33)-Model!M176)</f>
        <v>-75.150431658531275</v>
      </c>
      <c r="N178" s="102">
        <f ca="1">-(-PMT(Inputs!$C$35/12,Inputs!$C$34*12,Inputs!$C$33)-Model!N176)</f>
        <v>-75.52712555155648</v>
      </c>
      <c r="O178" s="102">
        <f ca="1">-(-PMT(Inputs!$C$35/12,Inputs!$C$34*12,Inputs!$C$33)-Model!O176)</f>
        <v>-75.90570763452169</v>
      </c>
      <c r="P178" s="102">
        <f ca="1">-(-PMT(Inputs!$C$35/12,Inputs!$C$34*12,Inputs!$C$33)-Model!P176)</f>
        <v>-76.286187372038086</v>
      </c>
      <c r="Q178" s="102">
        <f ca="1">-(-PMT(Inputs!$C$35/12,Inputs!$C$34*12,Inputs!$C$33)-Model!Q176)</f>
        <v>-76.66857427615858</v>
      </c>
      <c r="R178" s="102">
        <f ca="1">-(-PMT(Inputs!$C$35/12,Inputs!$C$34*12,Inputs!$C$33)-Model!R176)</f>
        <v>-77.052877906615507</v>
      </c>
      <c r="S178" s="102">
        <f ca="1">-(-PMT(Inputs!$C$35/12,Inputs!$C$34*12,Inputs!$C$33)-Model!S176)</f>
        <v>-77.43910787105969</v>
      </c>
      <c r="T178" s="102">
        <f ca="1">-(-PMT(Inputs!$C$35/12,Inputs!$C$34*12,Inputs!$C$33)-Model!T176)</f>
        <v>-77.827273825300594</v>
      </c>
      <c r="U178" s="102">
        <f ca="1">-(-PMT(Inputs!$C$35/12,Inputs!$C$34*12,Inputs!$C$33)-Model!U176)</f>
        <v>-78.217385473547722</v>
      </c>
      <c r="V178" s="102">
        <f ca="1">-(-PMT(Inputs!$C$35/12,Inputs!$C$34*12,Inputs!$C$33)-Model!V176)</f>
        <v>-78.609452568653211</v>
      </c>
      <c r="W178" s="102">
        <f ca="1">-(-PMT(Inputs!$C$35/12,Inputs!$C$34*12,Inputs!$C$33)-Model!W176)</f>
        <v>-79.003484912355745</v>
      </c>
      <c r="X178" s="102">
        <f ca="1">-(-PMT(Inputs!$C$35/12,Inputs!$C$34*12,Inputs!$C$33)-Model!X176)</f>
        <v>-79.399492355525439</v>
      </c>
      <c r="Y178" s="102">
        <f ca="1">-(-PMT(Inputs!$C$35/12,Inputs!$C$34*12,Inputs!$C$33)-Model!Y176)</f>
        <v>-79.797484798410281</v>
      </c>
      <c r="Z178" s="102">
        <f ca="1">-(-PMT(Inputs!$C$35/12,Inputs!$C$34*12,Inputs!$C$33)-Model!Z176)</f>
        <v>-80.197472190883516</v>
      </c>
      <c r="AA178" s="102">
        <f ca="1">-(-PMT(Inputs!$C$35/12,Inputs!$C$34*12,Inputs!$C$33)-Model!AA176)</f>
        <v>-80.599464532692451</v>
      </c>
      <c r="AB178" s="102"/>
    </row>
    <row r="179" spans="1:28" outlineLevel="1"/>
    <row r="180" spans="1:28" outlineLevel="1"/>
    <row r="181" spans="1:28" outlineLevel="1"/>
    <row r="182" spans="1:28">
      <c r="A182" s="27" t="s">
        <v>38</v>
      </c>
      <c r="B182" s="44" t="s">
        <v>162</v>
      </c>
      <c r="C182" s="44"/>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row>
    <row r="184" spans="1:28" outlineLevel="1"/>
    <row r="185" spans="1:28" outlineLevel="1">
      <c r="B185" s="79" t="s">
        <v>124</v>
      </c>
    </row>
    <row r="186" spans="1:28" outlineLevel="1"/>
    <row r="187" spans="1:28" outlineLevel="1">
      <c r="B187" s="110" t="s">
        <v>125</v>
      </c>
      <c r="D187" s="145">
        <f>D164</f>
        <v>-500</v>
      </c>
      <c r="E187" s="145">
        <f t="shared" ref="E187:AA187" ca="1" si="65">E164</f>
        <v>499.99999999999989</v>
      </c>
      <c r="F187" s="145">
        <f t="shared" ca="1" si="65"/>
        <v>499.99999999999989</v>
      </c>
      <c r="G187" s="145">
        <f t="shared" ca="1" si="65"/>
        <v>499.99999999999989</v>
      </c>
      <c r="H187" s="145">
        <f t="shared" ca="1" si="65"/>
        <v>499.99999999999989</v>
      </c>
      <c r="I187" s="145">
        <f t="shared" ca="1" si="65"/>
        <v>499.99999999999989</v>
      </c>
      <c r="J187" s="145">
        <f t="shared" ca="1" si="65"/>
        <v>499.99999999999989</v>
      </c>
      <c r="K187" s="145">
        <f t="shared" ca="1" si="65"/>
        <v>499.99999999999989</v>
      </c>
      <c r="L187" s="145">
        <f t="shared" ca="1" si="65"/>
        <v>499.99999999999989</v>
      </c>
      <c r="M187" s="145">
        <f t="shared" ca="1" si="65"/>
        <v>499.99999999999989</v>
      </c>
      <c r="N187" s="145">
        <f t="shared" ca="1" si="65"/>
        <v>499.99999999999989</v>
      </c>
      <c r="O187" s="145">
        <f t="shared" ca="1" si="65"/>
        <v>499.99999999999989</v>
      </c>
      <c r="P187" s="145">
        <f t="shared" ca="1" si="65"/>
        <v>499.99999999999989</v>
      </c>
      <c r="Q187" s="145">
        <f t="shared" ca="1" si="65"/>
        <v>499.99999999999989</v>
      </c>
      <c r="R187" s="145">
        <f t="shared" ca="1" si="65"/>
        <v>499.99999999999989</v>
      </c>
      <c r="S187" s="145">
        <f t="shared" ca="1" si="65"/>
        <v>499.99999999999989</v>
      </c>
      <c r="T187" s="145">
        <f t="shared" ca="1" si="65"/>
        <v>499.99999999999989</v>
      </c>
      <c r="U187" s="145">
        <f t="shared" ca="1" si="65"/>
        <v>499.99999999999989</v>
      </c>
      <c r="V187" s="145">
        <f t="shared" ca="1" si="65"/>
        <v>499.99999999999989</v>
      </c>
      <c r="W187" s="145">
        <f t="shared" ca="1" si="65"/>
        <v>499.99999999999989</v>
      </c>
      <c r="X187" s="145">
        <f ca="1">X164</f>
        <v>-384.30549540854429</v>
      </c>
      <c r="Y187" s="145">
        <f t="shared" ca="1" si="65"/>
        <v>-1800.3140578502048</v>
      </c>
      <c r="Z187" s="145">
        <f t="shared" ca="1" si="65"/>
        <v>-3244.2276202918647</v>
      </c>
      <c r="AA187" s="145">
        <f t="shared" ca="1" si="65"/>
        <v>-4713.0776553362648</v>
      </c>
    </row>
    <row r="188" spans="1:28" outlineLevel="1">
      <c r="B188" s="110" t="s">
        <v>126</v>
      </c>
      <c r="D188" s="145">
        <f t="shared" ref="D188:AA188" ca="1" si="66">D101</f>
        <v>-627.96765123225043</v>
      </c>
      <c r="E188" s="145">
        <f t="shared" ca="1" si="66"/>
        <v>-600.75547805833696</v>
      </c>
      <c r="F188" s="145">
        <f t="shared" ca="1" si="66"/>
        <v>-620.65355457428564</v>
      </c>
      <c r="G188" s="145">
        <f t="shared" ca="1" si="66"/>
        <v>-642.54981693743196</v>
      </c>
      <c r="H188" s="145">
        <f t="shared" ca="1" si="66"/>
        <v>-664.4442560542783</v>
      </c>
      <c r="I188" s="145">
        <f t="shared" ca="1" si="66"/>
        <v>-686.33686278574532</v>
      </c>
      <c r="J188" s="145">
        <f t="shared" ca="1" si="66"/>
        <v>-708.22762794694415</v>
      </c>
      <c r="K188" s="145">
        <f t="shared" ca="1" si="66"/>
        <v>-730.11654230694592</v>
      </c>
      <c r="L188" s="145">
        <f t="shared" ca="1" si="66"/>
        <v>-754.00359658855166</v>
      </c>
      <c r="M188" s="145">
        <f t="shared" ca="1" si="66"/>
        <v>-775.88878146806019</v>
      </c>
      <c r="N188" s="145">
        <f t="shared" ca="1" si="66"/>
        <v>-799.77208757503502</v>
      </c>
      <c r="O188" s="145">
        <f t="shared" ca="1" si="66"/>
        <v>-837.76309453316583</v>
      </c>
      <c r="P188" s="145">
        <f t="shared" ca="1" si="66"/>
        <v>-955.1746695901702</v>
      </c>
      <c r="Q188" s="145">
        <f t="shared" ca="1" si="66"/>
        <v>-996.68748816550158</v>
      </c>
      <c r="R188" s="145">
        <f t="shared" ca="1" si="66"/>
        <v>-1041.2231845350448</v>
      </c>
      <c r="S188" s="145">
        <f t="shared" ca="1" si="66"/>
        <v>-1083.7569545706003</v>
      </c>
      <c r="T188" s="145">
        <f t="shared" ca="1" si="66"/>
        <v>-1128.2887886163596</v>
      </c>
      <c r="U188" s="145">
        <f t="shared" ca="1" si="66"/>
        <v>-1172.8186769681126</v>
      </c>
      <c r="V188" s="145">
        <f t="shared" ca="1" si="66"/>
        <v>-1217.3466098730071</v>
      </c>
      <c r="W188" s="145">
        <f t="shared" ca="1" si="66"/>
        <v>-1257.8725775293046</v>
      </c>
      <c r="X188" s="145">
        <f t="shared" ca="1" si="66"/>
        <v>-1288.3965700861349</v>
      </c>
      <c r="Y188" s="145">
        <f t="shared" ca="1" si="66"/>
        <v>-1316.9185776432498</v>
      </c>
      <c r="Z188" s="145">
        <f t="shared" ca="1" si="66"/>
        <v>-1341.9625628535164</v>
      </c>
      <c r="AA188" s="145">
        <f t="shared" ca="1" si="66"/>
        <v>-1366.4205705117074</v>
      </c>
    </row>
    <row r="189" spans="1:28" outlineLevel="1">
      <c r="B189" s="110" t="s">
        <v>127</v>
      </c>
      <c r="D189" s="145">
        <f t="shared" ref="D189:AA189" si="67">D105</f>
        <v>-48.925000000000004</v>
      </c>
      <c r="E189" s="145">
        <f t="shared" si="67"/>
        <v>-49.955000000000005</v>
      </c>
      <c r="F189" s="145">
        <f t="shared" si="67"/>
        <v>-50.985000000000007</v>
      </c>
      <c r="G189" s="145">
        <f t="shared" si="67"/>
        <v>-52.015000000000001</v>
      </c>
      <c r="H189" s="145">
        <f t="shared" si="67"/>
        <v>-53.045000000000009</v>
      </c>
      <c r="I189" s="145">
        <f t="shared" si="67"/>
        <v>-54.075000000000003</v>
      </c>
      <c r="J189" s="145">
        <f t="shared" si="67"/>
        <v>-55.105000000000011</v>
      </c>
      <c r="K189" s="145">
        <f t="shared" si="67"/>
        <v>-56.135000000000005</v>
      </c>
      <c r="L189" s="145">
        <f t="shared" si="67"/>
        <v>-57.164999999999999</v>
      </c>
      <c r="M189" s="145">
        <f t="shared" si="67"/>
        <v>-58.195000000000007</v>
      </c>
      <c r="N189" s="145">
        <f t="shared" si="67"/>
        <v>-59.225000000000001</v>
      </c>
      <c r="O189" s="145">
        <f t="shared" si="67"/>
        <v>-58.195000000000007</v>
      </c>
      <c r="P189" s="145">
        <f t="shared" si="67"/>
        <v>-56.332499999999996</v>
      </c>
      <c r="Q189" s="145">
        <f t="shared" si="67"/>
        <v>-55.317499999999995</v>
      </c>
      <c r="R189" s="145">
        <f t="shared" si="67"/>
        <v>-54.302500000000002</v>
      </c>
      <c r="S189" s="145">
        <f t="shared" si="67"/>
        <v>-53.287500000000001</v>
      </c>
      <c r="T189" s="145">
        <f t="shared" si="67"/>
        <v>-52.272499999999994</v>
      </c>
      <c r="U189" s="145">
        <f t="shared" si="67"/>
        <v>-51.257499999999993</v>
      </c>
      <c r="V189" s="145">
        <f t="shared" si="67"/>
        <v>-50.2425</v>
      </c>
      <c r="W189" s="145">
        <f t="shared" si="67"/>
        <v>-49.227499999999999</v>
      </c>
      <c r="X189" s="145">
        <f t="shared" si="67"/>
        <v>-48.212499999999999</v>
      </c>
      <c r="Y189" s="145">
        <f t="shared" si="67"/>
        <v>-47.197499999999998</v>
      </c>
      <c r="Z189" s="145">
        <f t="shared" si="67"/>
        <v>-46.69</v>
      </c>
      <c r="AA189" s="145">
        <f t="shared" si="67"/>
        <v>-46.182499999999997</v>
      </c>
    </row>
    <row r="190" spans="1:28" outlineLevel="1">
      <c r="B190" s="110" t="s">
        <v>128</v>
      </c>
      <c r="D190" s="145">
        <f ca="1">D172</f>
        <v>-71.843616688861715</v>
      </c>
      <c r="E190" s="145">
        <f t="shared" ref="E190:AA190" ca="1" si="68">E172</f>
        <v>-72.203735068254517</v>
      </c>
      <c r="F190" s="145">
        <f t="shared" ca="1" si="68"/>
        <v>-72.565658552305905</v>
      </c>
      <c r="G190" s="145">
        <f t="shared" ca="1" si="68"/>
        <v>-72.929396189159576</v>
      </c>
      <c r="H190" s="145">
        <f t="shared" ca="1" si="68"/>
        <v>-73.294957072313267</v>
      </c>
      <c r="I190" s="145">
        <f t="shared" ca="1" si="68"/>
        <v>-73.66235034084616</v>
      </c>
      <c r="J190" s="145">
        <f t="shared" ca="1" si="68"/>
        <v>-74.031585179647394</v>
      </c>
      <c r="K190" s="145">
        <f t="shared" ca="1" si="68"/>
        <v>-74.402670819645635</v>
      </c>
      <c r="L190" s="145">
        <f t="shared" ca="1" si="68"/>
        <v>-74.775616538039841</v>
      </c>
      <c r="M190" s="145">
        <f t="shared" ca="1" si="68"/>
        <v>-75.150431658531275</v>
      </c>
      <c r="N190" s="145">
        <f t="shared" ca="1" si="68"/>
        <v>-75.52712555155648</v>
      </c>
      <c r="O190" s="145">
        <f t="shared" ca="1" si="68"/>
        <v>-75.90570763452169</v>
      </c>
      <c r="P190" s="145">
        <f t="shared" ca="1" si="68"/>
        <v>-76.286187372038086</v>
      </c>
      <c r="Q190" s="145">
        <f t="shared" ca="1" si="68"/>
        <v>-76.66857427615858</v>
      </c>
      <c r="R190" s="145">
        <f t="shared" ca="1" si="68"/>
        <v>-77.052877906615507</v>
      </c>
      <c r="S190" s="145">
        <f t="shared" ca="1" si="68"/>
        <v>-77.43910787105969</v>
      </c>
      <c r="T190" s="145">
        <f t="shared" ca="1" si="68"/>
        <v>-77.827273825300594</v>
      </c>
      <c r="U190" s="145">
        <f t="shared" ca="1" si="68"/>
        <v>-78.217385473547722</v>
      </c>
      <c r="V190" s="145">
        <f t="shared" ca="1" si="68"/>
        <v>-78.609452568653211</v>
      </c>
      <c r="W190" s="145">
        <f t="shared" ca="1" si="68"/>
        <v>-79.003484912355745</v>
      </c>
      <c r="X190" s="145">
        <f t="shared" ca="1" si="68"/>
        <v>-79.399492355525439</v>
      </c>
      <c r="Y190" s="145">
        <f t="shared" ca="1" si="68"/>
        <v>-79.797484798410281</v>
      </c>
      <c r="Z190" s="145">
        <f t="shared" ca="1" si="68"/>
        <v>-80.197472190883516</v>
      </c>
      <c r="AA190" s="145">
        <f t="shared" ca="1" si="68"/>
        <v>-80.599464532692451</v>
      </c>
    </row>
    <row r="191" spans="1:28" outlineLevel="1">
      <c r="B191" s="110" t="s">
        <v>21</v>
      </c>
      <c r="D191" s="145">
        <f>-Inputs!$C$27</f>
        <v>-500</v>
      </c>
      <c r="E191" s="145">
        <f>-Inputs!$C$27</f>
        <v>-500</v>
      </c>
      <c r="F191" s="145">
        <f>-Inputs!$C$27</f>
        <v>-500</v>
      </c>
      <c r="G191" s="145">
        <f>-Inputs!$C$27</f>
        <v>-500</v>
      </c>
      <c r="H191" s="145">
        <f>-Inputs!$C$27</f>
        <v>-500</v>
      </c>
      <c r="I191" s="145">
        <f>-Inputs!$C$27</f>
        <v>-500</v>
      </c>
      <c r="J191" s="145">
        <f>-Inputs!$C$27</f>
        <v>-500</v>
      </c>
      <c r="K191" s="145">
        <f>-Inputs!$C$27</f>
        <v>-500</v>
      </c>
      <c r="L191" s="145">
        <f>-Inputs!$C$27</f>
        <v>-500</v>
      </c>
      <c r="M191" s="145">
        <f>-Inputs!$C$27</f>
        <v>-500</v>
      </c>
      <c r="N191" s="145">
        <f>-Inputs!$C$27</f>
        <v>-500</v>
      </c>
      <c r="O191" s="145">
        <f>-Inputs!$C$27</f>
        <v>-500</v>
      </c>
      <c r="P191" s="145">
        <f>-Inputs!$C$27</f>
        <v>-500</v>
      </c>
      <c r="Q191" s="145">
        <f>-Inputs!$C$27</f>
        <v>-500</v>
      </c>
      <c r="R191" s="145">
        <f>-Inputs!$C$27</f>
        <v>-500</v>
      </c>
      <c r="S191" s="145">
        <f>-Inputs!$C$27</f>
        <v>-500</v>
      </c>
      <c r="T191" s="145">
        <f>-Inputs!$C$27</f>
        <v>-500</v>
      </c>
      <c r="U191" s="145">
        <f>-Inputs!$C$27</f>
        <v>-500</v>
      </c>
      <c r="V191" s="145">
        <f>-Inputs!$C$27</f>
        <v>-500</v>
      </c>
      <c r="W191" s="145">
        <f>-Inputs!$C$27</f>
        <v>-500</v>
      </c>
      <c r="X191" s="145">
        <f>-Inputs!$C$27</f>
        <v>-500</v>
      </c>
      <c r="Y191" s="145">
        <f>-Inputs!$C$27</f>
        <v>-500</v>
      </c>
      <c r="Z191" s="145">
        <f>-Inputs!$C$27</f>
        <v>-500</v>
      </c>
      <c r="AA191" s="145">
        <f>-Inputs!$C$27</f>
        <v>-500</v>
      </c>
    </row>
    <row r="192" spans="1:28" outlineLevel="1">
      <c r="B192" s="110" t="s">
        <v>129</v>
      </c>
      <c r="D192" s="147">
        <f ca="1">SUM(D187:D191)</f>
        <v>-1748.7362679211119</v>
      </c>
      <c r="E192" s="147">
        <f t="shared" ref="E192:AA192" ca="1" si="69">SUM(E187:E191)</f>
        <v>-722.91421312659168</v>
      </c>
      <c r="F192" s="147">
        <f ca="1">SUM(F187:F191)</f>
        <v>-744.20421312659164</v>
      </c>
      <c r="G192" s="147">
        <f t="shared" ca="1" si="69"/>
        <v>-767.4942131265916</v>
      </c>
      <c r="H192" s="147">
        <f t="shared" ca="1" si="69"/>
        <v>-790.78421312659168</v>
      </c>
      <c r="I192" s="147">
        <f t="shared" ca="1" si="69"/>
        <v>-814.07421312659153</v>
      </c>
      <c r="J192" s="147">
        <f t="shared" ca="1" si="69"/>
        <v>-837.36421312659172</v>
      </c>
      <c r="K192" s="147">
        <f t="shared" ca="1" si="69"/>
        <v>-860.65421312659169</v>
      </c>
      <c r="L192" s="147">
        <f t="shared" ca="1" si="69"/>
        <v>-885.94421312659165</v>
      </c>
      <c r="M192" s="147">
        <f t="shared" ca="1" si="69"/>
        <v>-909.23421312659161</v>
      </c>
      <c r="N192" s="147">
        <f t="shared" ca="1" si="69"/>
        <v>-934.52421312659158</v>
      </c>
      <c r="O192" s="147">
        <f t="shared" ca="1" si="69"/>
        <v>-971.8638021676876</v>
      </c>
      <c r="P192" s="147">
        <f t="shared" ca="1" si="69"/>
        <v>-1087.7933569622082</v>
      </c>
      <c r="Q192" s="147">
        <f t="shared" ca="1" si="69"/>
        <v>-1128.6735624416601</v>
      </c>
      <c r="R192" s="147">
        <f t="shared" ca="1" si="69"/>
        <v>-1172.5785624416603</v>
      </c>
      <c r="S192" s="147">
        <f t="shared" ca="1" si="69"/>
        <v>-1214.4835624416601</v>
      </c>
      <c r="T192" s="147">
        <f t="shared" ca="1" si="69"/>
        <v>-1258.3885624416603</v>
      </c>
      <c r="U192" s="147">
        <f t="shared" ca="1" si="69"/>
        <v>-1302.2935624416605</v>
      </c>
      <c r="V192" s="147">
        <f t="shared" ca="1" si="69"/>
        <v>-1346.1985624416602</v>
      </c>
      <c r="W192" s="147">
        <f t="shared" ca="1" si="69"/>
        <v>-1386.1035624416604</v>
      </c>
      <c r="X192" s="147">
        <f t="shared" ca="1" si="69"/>
        <v>-2300.3140578502043</v>
      </c>
      <c r="Y192" s="147">
        <f t="shared" ca="1" si="69"/>
        <v>-3744.2276202918652</v>
      </c>
      <c r="Z192" s="147">
        <f t="shared" ca="1" si="69"/>
        <v>-5213.0776553362648</v>
      </c>
      <c r="AA192" s="147">
        <f t="shared" ca="1" si="69"/>
        <v>-6706.2801903806649</v>
      </c>
    </row>
    <row r="193" spans="2:27" outlineLevel="1"/>
    <row r="194" spans="2:27" outlineLevel="1">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row>
    <row r="195" spans="2:27" outlineLevel="1"/>
    <row r="196" spans="2:27" outlineLevel="1"/>
    <row r="197" spans="2:27" outlineLevel="1">
      <c r="B197" s="79" t="s">
        <v>130</v>
      </c>
      <c r="D197" s="151"/>
      <c r="E197" s="151"/>
      <c r="F197" s="145"/>
      <c r="G197" s="145"/>
    </row>
    <row r="198" spans="2:27" outlineLevel="1">
      <c r="D198" s="151"/>
      <c r="E198" s="151"/>
    </row>
    <row r="199" spans="2:27" outlineLevel="1">
      <c r="B199" s="110" t="s">
        <v>51</v>
      </c>
      <c r="D199" s="152">
        <v>0</v>
      </c>
      <c r="E199" s="152">
        <f ca="1">D201</f>
        <v>1748.7362679211119</v>
      </c>
      <c r="F199" s="145">
        <f t="shared" ref="F199:AA199" ca="1" si="70">E201</f>
        <v>2471.6504810477036</v>
      </c>
      <c r="G199" s="145">
        <f t="shared" ca="1" si="70"/>
        <v>3215.8546941742952</v>
      </c>
      <c r="H199" s="145">
        <f t="shared" ca="1" si="70"/>
        <v>3983.3489073008868</v>
      </c>
      <c r="I199" s="145">
        <f t="shared" ca="1" si="70"/>
        <v>4774.1331204274784</v>
      </c>
      <c r="J199" s="145">
        <f t="shared" ca="1" si="70"/>
        <v>5588.2073335540699</v>
      </c>
      <c r="K199" s="145">
        <f t="shared" ca="1" si="70"/>
        <v>6425.5715466806614</v>
      </c>
      <c r="L199" s="145">
        <f t="shared" ca="1" si="70"/>
        <v>7286.2257598072529</v>
      </c>
      <c r="M199" s="145">
        <f t="shared" ca="1" si="70"/>
        <v>8172.1699729338443</v>
      </c>
      <c r="N199" s="145">
        <f t="shared" ca="1" si="70"/>
        <v>9081.4041860604357</v>
      </c>
      <c r="O199" s="145">
        <f t="shared" ca="1" si="70"/>
        <v>10015.928399187027</v>
      </c>
      <c r="P199" s="145">
        <f t="shared" ca="1" si="70"/>
        <v>10987.792201354714</v>
      </c>
      <c r="Q199" s="145">
        <f t="shared" ca="1" si="70"/>
        <v>12075.585558316921</v>
      </c>
      <c r="R199" s="145">
        <f t="shared" ca="1" si="70"/>
        <v>13204.259120758581</v>
      </c>
      <c r="S199" s="145">
        <f t="shared" ca="1" si="70"/>
        <v>14376.837683200241</v>
      </c>
      <c r="T199" s="145">
        <f t="shared" ca="1" si="70"/>
        <v>15591.321245641902</v>
      </c>
      <c r="U199" s="145">
        <f t="shared" ca="1" si="70"/>
        <v>16849.709808083564</v>
      </c>
      <c r="V199" s="145">
        <f t="shared" ca="1" si="70"/>
        <v>18152.003370525224</v>
      </c>
      <c r="W199" s="145">
        <f ca="1">V201</f>
        <v>19498.201932966884</v>
      </c>
      <c r="X199" s="145">
        <f t="shared" ca="1" si="70"/>
        <v>20000</v>
      </c>
      <c r="Y199" s="145">
        <f t="shared" ca="1" si="70"/>
        <v>20000</v>
      </c>
      <c r="Z199" s="145">
        <f t="shared" ca="1" si="70"/>
        <v>20000</v>
      </c>
      <c r="AA199" s="145">
        <f t="shared" ca="1" si="70"/>
        <v>20000</v>
      </c>
    </row>
    <row r="200" spans="2:27" ht="14.4" customHeight="1" outlineLevel="1">
      <c r="B200" s="149" t="s">
        <v>175</v>
      </c>
      <c r="D200" s="152">
        <f ca="1">IF(D192&lt;0,MIN(-D192,D203-D199),-MIN(D192,D199))</f>
        <v>1748.7362679211119</v>
      </c>
      <c r="E200" s="152">
        <f t="shared" ref="E200:I200" ca="1" si="71">IF(E192&lt;0,MIN(-E192,E203-E199),-MIN(E192,E199))</f>
        <v>722.91421312659168</v>
      </c>
      <c r="F200" s="152">
        <f t="shared" ca="1" si="71"/>
        <v>744.20421312659164</v>
      </c>
      <c r="G200" s="152">
        <f t="shared" ca="1" si="71"/>
        <v>767.4942131265916</v>
      </c>
      <c r="H200" s="152">
        <f t="shared" ca="1" si="71"/>
        <v>790.78421312659168</v>
      </c>
      <c r="I200" s="152">
        <f t="shared" ca="1" si="71"/>
        <v>814.07421312659153</v>
      </c>
      <c r="J200" s="152">
        <f t="shared" ref="J200" ca="1" si="72">IF(J192&lt;0,MIN(-J192,J203-J199),-MIN(J192,J199))</f>
        <v>837.36421312659172</v>
      </c>
      <c r="K200" s="152">
        <f t="shared" ref="K200" ca="1" si="73">IF(K192&lt;0,MIN(-K192,K203-K199),-MIN(K192,K199))</f>
        <v>860.65421312659169</v>
      </c>
      <c r="L200" s="152">
        <f t="shared" ref="L200" ca="1" si="74">IF(L192&lt;0,MIN(-L192,L203-L199),-MIN(L192,L199))</f>
        <v>885.94421312659165</v>
      </c>
      <c r="M200" s="152">
        <f t="shared" ref="M200:N200" ca="1" si="75">IF(M192&lt;0,MIN(-M192,M203-M199),-MIN(M192,M199))</f>
        <v>909.23421312659161</v>
      </c>
      <c r="N200" s="152">
        <f t="shared" ca="1" si="75"/>
        <v>934.52421312659158</v>
      </c>
      <c r="O200" s="152">
        <f t="shared" ref="O200" ca="1" si="76">IF(O192&lt;0,MIN(-O192,O203-O199),-MIN(O192,O199))</f>
        <v>971.8638021676876</v>
      </c>
      <c r="P200" s="152">
        <f t="shared" ref="P200" ca="1" si="77">IF(P192&lt;0,MIN(-P192,P203-P199),-MIN(P192,P199))</f>
        <v>1087.7933569622082</v>
      </c>
      <c r="Q200" s="152">
        <f t="shared" ref="Q200" ca="1" si="78">IF(Q192&lt;0,MIN(-Q192,Q203-Q199),-MIN(Q192,Q199))</f>
        <v>1128.6735624416601</v>
      </c>
      <c r="R200" s="152">
        <f t="shared" ref="R200:S200" ca="1" si="79">IF(R192&lt;0,MIN(-R192,R203-R199),-MIN(R192,R199))</f>
        <v>1172.5785624416603</v>
      </c>
      <c r="S200" s="152">
        <f t="shared" ca="1" si="79"/>
        <v>1214.4835624416601</v>
      </c>
      <c r="T200" s="152">
        <f t="shared" ref="T200" ca="1" si="80">IF(T192&lt;0,MIN(-T192,T203-T199),-MIN(T192,T199))</f>
        <v>1258.3885624416603</v>
      </c>
      <c r="U200" s="152">
        <f t="shared" ref="U200" ca="1" si="81">IF(U192&lt;0,MIN(-U192,U203-U199),-MIN(U192,U199))</f>
        <v>1302.2935624416605</v>
      </c>
      <c r="V200" s="152">
        <f t="shared" ref="V200" ca="1" si="82">IF(V192&lt;0,MIN(-V192,V203-V199),-MIN(V192,V199))</f>
        <v>1346.1985624416602</v>
      </c>
      <c r="W200" s="152">
        <f t="shared" ref="W200:X200" ca="1" si="83">IF(W192&lt;0,MIN(-W192,W203-W199),-MIN(W192,W199))</f>
        <v>501.79806703311624</v>
      </c>
      <c r="X200" s="152">
        <f t="shared" ca="1" si="83"/>
        <v>0</v>
      </c>
      <c r="Y200" s="152">
        <f t="shared" ref="Y200" ca="1" si="84">IF(Y192&lt;0,MIN(-Y192,Y203-Y199),-MIN(Y192,Y199))</f>
        <v>0</v>
      </c>
      <c r="Z200" s="152">
        <f t="shared" ref="Z200" ca="1" si="85">IF(Z192&lt;0,MIN(-Z192,Z203-Z199),-MIN(Z192,Z199))</f>
        <v>0</v>
      </c>
      <c r="AA200" s="152">
        <f t="shared" ref="AA200" ca="1" si="86">IF(AA192&lt;0,MIN(-AA192,AA203-AA199),-MIN(AA192,AA199))</f>
        <v>0</v>
      </c>
    </row>
    <row r="201" spans="2:27" ht="15" customHeight="1" outlineLevel="1">
      <c r="B201" s="110" t="s">
        <v>52</v>
      </c>
      <c r="D201" s="145">
        <f ca="1">D199+D200</f>
        <v>1748.7362679211119</v>
      </c>
      <c r="E201" s="145">
        <f t="shared" ref="E201:AA201" ca="1" si="87">E199+E200</f>
        <v>2471.6504810477036</v>
      </c>
      <c r="F201" s="145">
        <f t="shared" ca="1" si="87"/>
        <v>3215.8546941742952</v>
      </c>
      <c r="G201" s="145">
        <f t="shared" ca="1" si="87"/>
        <v>3983.3489073008868</v>
      </c>
      <c r="H201" s="145">
        <f t="shared" ca="1" si="87"/>
        <v>4774.1331204274784</v>
      </c>
      <c r="I201" s="145">
        <f t="shared" ca="1" si="87"/>
        <v>5588.2073335540699</v>
      </c>
      <c r="J201" s="145">
        <f t="shared" ca="1" si="87"/>
        <v>6425.5715466806614</v>
      </c>
      <c r="K201" s="145">
        <f t="shared" ref="K201:W201" ca="1" si="88">K199+K200</f>
        <v>7286.2257598072529</v>
      </c>
      <c r="L201" s="145">
        <f t="shared" ca="1" si="88"/>
        <v>8172.1699729338443</v>
      </c>
      <c r="M201" s="145">
        <f t="shared" ca="1" si="88"/>
        <v>9081.4041860604357</v>
      </c>
      <c r="N201" s="145">
        <f t="shared" ca="1" si="88"/>
        <v>10015.928399187027</v>
      </c>
      <c r="O201" s="145">
        <f t="shared" ca="1" si="88"/>
        <v>10987.792201354714</v>
      </c>
      <c r="P201" s="145">
        <f t="shared" ca="1" si="88"/>
        <v>12075.585558316921</v>
      </c>
      <c r="Q201" s="145">
        <f t="shared" ca="1" si="88"/>
        <v>13204.259120758581</v>
      </c>
      <c r="R201" s="145">
        <f t="shared" ca="1" si="88"/>
        <v>14376.837683200241</v>
      </c>
      <c r="S201" s="145">
        <f t="shared" ca="1" si="88"/>
        <v>15591.321245641902</v>
      </c>
      <c r="T201" s="145">
        <f t="shared" ca="1" si="88"/>
        <v>16849.709808083564</v>
      </c>
      <c r="U201" s="145">
        <f t="shared" ca="1" si="88"/>
        <v>18152.003370525224</v>
      </c>
      <c r="V201" s="145">
        <f t="shared" ca="1" si="88"/>
        <v>19498.201932966884</v>
      </c>
      <c r="W201" s="145">
        <f t="shared" ca="1" si="88"/>
        <v>20000</v>
      </c>
      <c r="X201" s="145">
        <f t="shared" ca="1" si="87"/>
        <v>20000</v>
      </c>
      <c r="Y201" s="145">
        <f t="shared" ca="1" si="87"/>
        <v>20000</v>
      </c>
      <c r="Z201" s="145">
        <f t="shared" ca="1" si="87"/>
        <v>20000</v>
      </c>
      <c r="AA201" s="145">
        <f t="shared" ca="1" si="87"/>
        <v>20000</v>
      </c>
    </row>
    <row r="202" spans="2:27" ht="14.4" customHeight="1" outlineLevel="1">
      <c r="B202" s="110"/>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row>
    <row r="203" spans="2:27" ht="13.2" customHeight="1" outlineLevel="1">
      <c r="B203" s="110" t="s">
        <v>90</v>
      </c>
      <c r="D203" s="102">
        <f>Inputs!$C$29</f>
        <v>20000</v>
      </c>
      <c r="E203" s="145">
        <f>Inputs!$C$29</f>
        <v>20000</v>
      </c>
      <c r="F203" s="145">
        <f>Inputs!$C$29</f>
        <v>20000</v>
      </c>
      <c r="G203" s="145">
        <f>Inputs!$C$29</f>
        <v>20000</v>
      </c>
      <c r="H203" s="145">
        <f>Inputs!$C$29</f>
        <v>20000</v>
      </c>
      <c r="I203" s="145">
        <f>Inputs!$C$29</f>
        <v>20000</v>
      </c>
      <c r="J203" s="145">
        <f>Inputs!$C$29</f>
        <v>20000</v>
      </c>
      <c r="K203" s="145">
        <f>Inputs!$C$29</f>
        <v>20000</v>
      </c>
      <c r="L203" s="145">
        <f>Inputs!$C$29</f>
        <v>20000</v>
      </c>
      <c r="M203" s="145">
        <f>Inputs!$C$29</f>
        <v>20000</v>
      </c>
      <c r="N203" s="145">
        <f>Inputs!$C$29</f>
        <v>20000</v>
      </c>
      <c r="O203" s="145">
        <f>Inputs!$C$29</f>
        <v>20000</v>
      </c>
      <c r="P203" s="145">
        <f>Inputs!$C$29</f>
        <v>20000</v>
      </c>
      <c r="Q203" s="145">
        <f>Inputs!$C$29</f>
        <v>20000</v>
      </c>
      <c r="R203" s="145">
        <f>Inputs!$C$29</f>
        <v>20000</v>
      </c>
      <c r="S203" s="145">
        <f>Inputs!$C$29</f>
        <v>20000</v>
      </c>
      <c r="T203" s="145">
        <f>Inputs!$C$29</f>
        <v>20000</v>
      </c>
      <c r="U203" s="145">
        <f>Inputs!$C$29</f>
        <v>20000</v>
      </c>
      <c r="V203" s="145">
        <f>Inputs!$C$29</f>
        <v>20000</v>
      </c>
      <c r="W203" s="145">
        <f>Inputs!$C$29</f>
        <v>20000</v>
      </c>
      <c r="X203" s="145">
        <f>Inputs!$C$29</f>
        <v>20000</v>
      </c>
      <c r="Y203" s="145">
        <f>Inputs!$C$29</f>
        <v>20000</v>
      </c>
      <c r="Z203" s="145">
        <f>Inputs!$C$29</f>
        <v>20000</v>
      </c>
      <c r="AA203" s="145">
        <f>Inputs!$C$29</f>
        <v>20000</v>
      </c>
    </row>
    <row r="204" spans="2:27" ht="15.6" customHeight="1" outlineLevel="1">
      <c r="B204" s="110" t="s">
        <v>174</v>
      </c>
      <c r="D204" s="147">
        <f ca="1">D203-D201</f>
        <v>18251.263732078889</v>
      </c>
      <c r="E204" s="147">
        <f t="shared" ref="E204" ca="1" si="89">E203-E201</f>
        <v>17528.349518952295</v>
      </c>
      <c r="F204" s="147">
        <f t="shared" ref="F204" ca="1" si="90">F203-F201</f>
        <v>16784.145305825703</v>
      </c>
      <c r="G204" s="147">
        <f t="shared" ref="G204" ca="1" si="91">G203-G201</f>
        <v>16016.651092699114</v>
      </c>
      <c r="H204" s="147">
        <f t="shared" ref="H204" ca="1" si="92">H203-H201</f>
        <v>15225.866879572521</v>
      </c>
      <c r="I204" s="147">
        <f t="shared" ref="I204" ca="1" si="93">I203-I201</f>
        <v>14411.79266644593</v>
      </c>
      <c r="J204" s="147">
        <f t="shared" ref="J204:W204" ca="1" si="94">J203-J201</f>
        <v>13574.428453319339</v>
      </c>
      <c r="K204" s="147">
        <f t="shared" ca="1" si="94"/>
        <v>12713.774240192746</v>
      </c>
      <c r="L204" s="147">
        <f t="shared" ca="1" si="94"/>
        <v>11827.830027066157</v>
      </c>
      <c r="M204" s="147">
        <f t="shared" ca="1" si="94"/>
        <v>10918.595813939564</v>
      </c>
      <c r="N204" s="147">
        <f t="shared" ca="1" si="94"/>
        <v>9984.071600812973</v>
      </c>
      <c r="O204" s="147">
        <f t="shared" ca="1" si="94"/>
        <v>9012.2077986452859</v>
      </c>
      <c r="P204" s="147">
        <f t="shared" ca="1" si="94"/>
        <v>7924.4144416830786</v>
      </c>
      <c r="Q204" s="147">
        <f t="shared" ca="1" si="94"/>
        <v>6795.740879241419</v>
      </c>
      <c r="R204" s="147">
        <f t="shared" ca="1" si="94"/>
        <v>5623.1623167997586</v>
      </c>
      <c r="S204" s="147">
        <f t="shared" ca="1" si="94"/>
        <v>4408.6787543580976</v>
      </c>
      <c r="T204" s="147">
        <f t="shared" ca="1" si="94"/>
        <v>3150.290191916436</v>
      </c>
      <c r="U204" s="147">
        <f t="shared" ca="1" si="94"/>
        <v>1847.9966294747755</v>
      </c>
      <c r="V204" s="147">
        <f t="shared" ca="1" si="94"/>
        <v>501.79806703311624</v>
      </c>
      <c r="W204" s="147">
        <f t="shared" ca="1" si="94"/>
        <v>0</v>
      </c>
      <c r="X204" s="147">
        <f t="shared" ref="X204" ca="1" si="95">X203-X201</f>
        <v>0</v>
      </c>
      <c r="Y204" s="147">
        <f ca="1">Y203-Y201</f>
        <v>0</v>
      </c>
      <c r="Z204" s="147">
        <f ca="1">Z203-Z201</f>
        <v>0</v>
      </c>
      <c r="AA204" s="147">
        <f ca="1">AA203-AA201</f>
        <v>0</v>
      </c>
    </row>
    <row r="205" spans="2:27" ht="15.6" customHeight="1" outlineLevel="1">
      <c r="B205" s="110"/>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row>
    <row r="206" spans="2:27" ht="15.6" customHeight="1" outlineLevel="1">
      <c r="B206" s="110" t="s">
        <v>196</v>
      </c>
      <c r="D206" s="152">
        <f ca="1">_xlfn.CEILING.MATH(IF(Cover!$F$29=1, AVERAGE(D201,D199)*(Inputs!$C$28/12), 0),2)</f>
        <v>12</v>
      </c>
      <c r="E206" s="152">
        <f ca="1">_xlfn.CEILING.MATH(IF(Cover!$F$29=1, AVERAGE(E201,E199)*(Inputs!$C$28/12), 0),2)</f>
        <v>28</v>
      </c>
      <c r="F206" s="152">
        <f ca="1">_xlfn.CEILING.MATH(IF(Cover!$F$29=1, AVERAGE(F201,F199)*(Inputs!$C$28/12), 0),2)</f>
        <v>36</v>
      </c>
      <c r="G206" s="152">
        <f ca="1">_xlfn.CEILING.MATH(IF(Cover!$F$29=1, AVERAGE(G201,G199)*(Inputs!$C$28/12), 0),2)</f>
        <v>46</v>
      </c>
      <c r="H206" s="152">
        <f ca="1">_xlfn.CEILING.MATH(IF(Cover!$F$29=1, AVERAGE(H201,H199)*(Inputs!$C$28/12), 0),2)</f>
        <v>56</v>
      </c>
      <c r="I206" s="152">
        <f ca="1">_xlfn.CEILING.MATH(IF(Cover!$F$29=1, AVERAGE(I201,I199)*(Inputs!$C$28/12), 0),2)</f>
        <v>66</v>
      </c>
      <c r="J206" s="152">
        <f ca="1">_xlfn.CEILING.MATH(IF(Cover!$F$29=1, AVERAGE(J201,J199)*(Inputs!$C$28/12), 0),2)</f>
        <v>76</v>
      </c>
      <c r="K206" s="152">
        <f ca="1">_xlfn.CEILING.MATH(IF(Cover!$F$29=1, AVERAGE(K201,K199)*(Inputs!$C$28/12), 0),2)</f>
        <v>86</v>
      </c>
      <c r="L206" s="152">
        <f ca="1">_xlfn.CEILING.MATH(IF(Cover!$F$29=1, AVERAGE(L201,L199)*(Inputs!$C$28/12), 0),2)</f>
        <v>98</v>
      </c>
      <c r="M206" s="152">
        <f ca="1">_xlfn.CEILING.MATH(IF(Cover!$F$29=1, AVERAGE(M201,M199)*(Inputs!$C$28/12), 0),2)</f>
        <v>108</v>
      </c>
      <c r="N206" s="152">
        <f ca="1">_xlfn.CEILING.MATH(IF(Cover!$F$29=1, AVERAGE(N201,N199)*(Inputs!$C$28/12), 0),2)</f>
        <v>120</v>
      </c>
      <c r="O206" s="152">
        <f ca="1">_xlfn.CEILING.MATH(IF(Cover!$F$29=1, AVERAGE(O201,O199)*(Inputs!$C$28/12), 0),2)</f>
        <v>132</v>
      </c>
      <c r="P206" s="152">
        <f ca="1">_xlfn.CEILING.MATH(IF(Cover!$F$29=1, AVERAGE(P201,P199)*(Inputs!$C$28/12), 0),2)</f>
        <v>146</v>
      </c>
      <c r="Q206" s="152">
        <f ca="1">_xlfn.CEILING.MATH(IF(Cover!$F$29=1, AVERAGE(Q201,Q199)*(Inputs!$C$28/12), 0),2)</f>
        <v>158</v>
      </c>
      <c r="R206" s="152">
        <f ca="1">_xlfn.CEILING.MATH(IF(Cover!$F$29=1, AVERAGE(R201,R199)*(Inputs!$C$28/12), 0),2)</f>
        <v>174</v>
      </c>
      <c r="S206" s="152">
        <f ca="1">_xlfn.CEILING.MATH(IF(Cover!$F$29=1, AVERAGE(S201,S199)*(Inputs!$C$28/12), 0),2)</f>
        <v>188</v>
      </c>
      <c r="T206" s="152">
        <f ca="1">_xlfn.CEILING.MATH(IF(Cover!$F$29=1, AVERAGE(T201,T199)*(Inputs!$C$28/12), 0),2)</f>
        <v>204</v>
      </c>
      <c r="U206" s="152">
        <f ca="1">_xlfn.CEILING.MATH(IF(Cover!$F$29=1, AVERAGE(U201,U199)*(Inputs!$C$28/12), 0),2)</f>
        <v>220</v>
      </c>
      <c r="V206" s="152">
        <f ca="1">_xlfn.CEILING.MATH(IF(Cover!$F$29=1, AVERAGE(V201,V199)*(Inputs!$C$28/12), 0),2)</f>
        <v>236</v>
      </c>
      <c r="W206" s="152">
        <f ca="1">_xlfn.CEILING.MATH(IF(Cover!$F$29=1, AVERAGE(W201,W199)*(Inputs!$C$28/12), 0),2)</f>
        <v>248</v>
      </c>
      <c r="X206" s="152">
        <f ca="1">_xlfn.CEILING.MATH(IF(Cover!$F$29=1, AVERAGE(X201,X199)*(Inputs!$C$28/12), 0),2)</f>
        <v>250</v>
      </c>
      <c r="Y206" s="152">
        <f ca="1">_xlfn.CEILING.MATH(IF(Cover!$F$29=1, AVERAGE(Y201,Y199)*(Inputs!$C$28/12), 0),2)</f>
        <v>250</v>
      </c>
      <c r="Z206" s="152">
        <f ca="1">_xlfn.CEILING.MATH(IF(Cover!$F$29=1, AVERAGE(Z201,Z199)*(Inputs!$C$28/12), 0),2)</f>
        <v>250</v>
      </c>
      <c r="AA206" s="152">
        <f ca="1">_xlfn.CEILING.MATH(IF(Cover!$F$29=1, AVERAGE(AA201,AA199)*(Inputs!$C$28/12), 0),2)</f>
        <v>250</v>
      </c>
    </row>
    <row r="207" spans="2:27" ht="15.6" customHeight="1" outlineLevel="1">
      <c r="B207" s="110"/>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row>
    <row r="208" spans="2:27" ht="15.6" customHeight="1" outlineLevel="1">
      <c r="B208" s="180" t="s">
        <v>197</v>
      </c>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c r="AA208" s="152"/>
    </row>
    <row r="209" spans="1:27" s="36" customFormat="1" ht="24.6" customHeight="1" outlineLevel="1"/>
    <row r="210" spans="1:27">
      <c r="A210" s="27" t="s">
        <v>38</v>
      </c>
      <c r="B210" s="44" t="s">
        <v>135</v>
      </c>
      <c r="C210" s="44"/>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row>
    <row r="211" spans="1:27" s="36" customFormat="1"/>
    <row r="212" spans="1:27" s="36" customFormat="1" outlineLevel="1">
      <c r="B212" s="36" t="s">
        <v>136</v>
      </c>
      <c r="D212" s="102">
        <v>365</v>
      </c>
      <c r="E212" s="102">
        <v>365</v>
      </c>
      <c r="F212" s="102">
        <v>365</v>
      </c>
      <c r="G212" s="102">
        <v>365</v>
      </c>
      <c r="H212" s="102">
        <v>365</v>
      </c>
      <c r="I212" s="102">
        <v>365</v>
      </c>
      <c r="J212" s="102">
        <v>365</v>
      </c>
      <c r="K212" s="102">
        <v>365</v>
      </c>
      <c r="L212" s="102">
        <v>365</v>
      </c>
      <c r="M212" s="102">
        <v>365</v>
      </c>
      <c r="N212" s="102">
        <v>365</v>
      </c>
      <c r="O212" s="102">
        <v>365</v>
      </c>
      <c r="P212" s="102">
        <v>365</v>
      </c>
      <c r="Q212" s="102">
        <v>365</v>
      </c>
      <c r="R212" s="102">
        <v>365</v>
      </c>
      <c r="S212" s="102">
        <v>365</v>
      </c>
      <c r="T212" s="102">
        <v>365</v>
      </c>
      <c r="U212" s="102">
        <v>365</v>
      </c>
      <c r="V212" s="102">
        <v>365</v>
      </c>
      <c r="W212" s="102">
        <v>365</v>
      </c>
      <c r="X212" s="102">
        <v>365</v>
      </c>
      <c r="Y212" s="102">
        <v>365</v>
      </c>
      <c r="Z212" s="102">
        <v>365</v>
      </c>
      <c r="AA212" s="102">
        <v>365</v>
      </c>
    </row>
    <row r="213" spans="1:27" s="36" customFormat="1" outlineLevel="1">
      <c r="B213" s="36" t="s">
        <v>8</v>
      </c>
      <c r="D213" s="102">
        <f t="shared" ref="D213:AA213" si="96">D14</f>
        <v>978.5</v>
      </c>
      <c r="E213" s="102">
        <f t="shared" si="96"/>
        <v>999.1</v>
      </c>
      <c r="F213" s="102">
        <f t="shared" si="96"/>
        <v>1019.7</v>
      </c>
      <c r="G213" s="102">
        <f t="shared" si="96"/>
        <v>1040.3</v>
      </c>
      <c r="H213" s="102">
        <f t="shared" si="96"/>
        <v>1060.9000000000001</v>
      </c>
      <c r="I213" s="102">
        <f t="shared" si="96"/>
        <v>1081.5</v>
      </c>
      <c r="J213" s="102">
        <f t="shared" si="96"/>
        <v>1102.1000000000001</v>
      </c>
      <c r="K213" s="102">
        <f t="shared" si="96"/>
        <v>1122.7</v>
      </c>
      <c r="L213" s="102">
        <f t="shared" si="96"/>
        <v>1143.3</v>
      </c>
      <c r="M213" s="102">
        <f t="shared" si="96"/>
        <v>1163.9000000000001</v>
      </c>
      <c r="N213" s="102">
        <f t="shared" si="96"/>
        <v>1184.5</v>
      </c>
      <c r="O213" s="102">
        <f t="shared" si="96"/>
        <v>1163.9000000000001</v>
      </c>
      <c r="P213" s="102">
        <f t="shared" si="96"/>
        <v>1126.6499999999999</v>
      </c>
      <c r="Q213" s="102">
        <f t="shared" si="96"/>
        <v>1106.3499999999999</v>
      </c>
      <c r="R213" s="102">
        <f t="shared" si="96"/>
        <v>1086.05</v>
      </c>
      <c r="S213" s="102">
        <f t="shared" si="96"/>
        <v>1065.75</v>
      </c>
      <c r="T213" s="102">
        <f t="shared" si="96"/>
        <v>1045.4499999999998</v>
      </c>
      <c r="U213" s="102">
        <f t="shared" si="96"/>
        <v>1025.1499999999999</v>
      </c>
      <c r="V213" s="102">
        <f t="shared" si="96"/>
        <v>1004.8499999999999</v>
      </c>
      <c r="W213" s="102">
        <f t="shared" si="96"/>
        <v>984.55</v>
      </c>
      <c r="X213" s="102">
        <f t="shared" si="96"/>
        <v>964.24999999999989</v>
      </c>
      <c r="Y213" s="102">
        <f t="shared" si="96"/>
        <v>943.94999999999993</v>
      </c>
      <c r="Z213" s="102">
        <f t="shared" si="96"/>
        <v>933.8</v>
      </c>
      <c r="AA213" s="102">
        <f t="shared" si="96"/>
        <v>923.64999999999986</v>
      </c>
    </row>
    <row r="214" spans="1:27" s="36" customFormat="1" outlineLevel="1">
      <c r="B214" s="36" t="s">
        <v>57</v>
      </c>
      <c r="D214" s="102">
        <f t="shared" ref="D214:AA214" si="97">D15</f>
        <v>-587.1</v>
      </c>
      <c r="E214" s="102">
        <f t="shared" si="97"/>
        <v>-599.46</v>
      </c>
      <c r="F214" s="102">
        <f t="shared" si="97"/>
        <v>-611.82000000000005</v>
      </c>
      <c r="G214" s="102">
        <f t="shared" si="97"/>
        <v>-624.17999999999995</v>
      </c>
      <c r="H214" s="102">
        <f t="shared" si="97"/>
        <v>-636.54000000000008</v>
      </c>
      <c r="I214" s="102">
        <f t="shared" si="97"/>
        <v>-648.9</v>
      </c>
      <c r="J214" s="102">
        <f t="shared" si="97"/>
        <v>-661.2600000000001</v>
      </c>
      <c r="K214" s="102">
        <f t="shared" si="97"/>
        <v>-673.62</v>
      </c>
      <c r="L214" s="102">
        <f t="shared" si="97"/>
        <v>-685.9799999999999</v>
      </c>
      <c r="M214" s="102">
        <f t="shared" si="97"/>
        <v>-698.34</v>
      </c>
      <c r="N214" s="102">
        <f t="shared" si="97"/>
        <v>-710.69999999999993</v>
      </c>
      <c r="O214" s="102">
        <f t="shared" si="97"/>
        <v>-698.34</v>
      </c>
      <c r="P214" s="102">
        <f t="shared" si="97"/>
        <v>-675.9899999999999</v>
      </c>
      <c r="Q214" s="102">
        <f t="shared" si="97"/>
        <v>-663.81</v>
      </c>
      <c r="R214" s="102">
        <f t="shared" si="97"/>
        <v>-651.63</v>
      </c>
      <c r="S214" s="102">
        <f t="shared" si="97"/>
        <v>-639.44999999999993</v>
      </c>
      <c r="T214" s="102">
        <f t="shared" si="97"/>
        <v>-627.26999999999987</v>
      </c>
      <c r="U214" s="102">
        <f t="shared" si="97"/>
        <v>-615.08999999999992</v>
      </c>
      <c r="V214" s="102">
        <f t="shared" si="97"/>
        <v>-602.91</v>
      </c>
      <c r="W214" s="102">
        <f t="shared" si="97"/>
        <v>-590.7299999999999</v>
      </c>
      <c r="X214" s="102">
        <f t="shared" si="97"/>
        <v>-578.54999999999995</v>
      </c>
      <c r="Y214" s="102">
        <f t="shared" si="97"/>
        <v>-566.36999999999989</v>
      </c>
      <c r="Z214" s="102">
        <f t="shared" si="97"/>
        <v>-560.28</v>
      </c>
      <c r="AA214" s="102">
        <f t="shared" si="97"/>
        <v>-554.18999999999994</v>
      </c>
    </row>
    <row r="215" spans="1:27" s="36" customFormat="1" outlineLevel="1"/>
    <row r="216" spans="1:27" s="36" customFormat="1" outlineLevel="1">
      <c r="B216" s="54" t="s">
        <v>160</v>
      </c>
    </row>
    <row r="217" spans="1:27" s="36" customFormat="1" outlineLevel="1">
      <c r="B217" s="110" t="s">
        <v>137</v>
      </c>
      <c r="D217" s="102">
        <f>(Inputs!$C$43/Model!D212)*Model!D213</f>
        <v>40.212328767123289</v>
      </c>
      <c r="E217" s="102">
        <f>(Inputs!$C$43/Model!E212)*Model!E213</f>
        <v>41.058904109589037</v>
      </c>
      <c r="F217" s="102">
        <f>(Inputs!$C$43/Model!F212)*Model!F213</f>
        <v>41.905479452054792</v>
      </c>
      <c r="G217" s="102">
        <f>(Inputs!$C$43/Model!G212)*Model!G213</f>
        <v>42.752054794520546</v>
      </c>
      <c r="H217" s="102">
        <f>(Inputs!$C$43/Model!H212)*Model!H213</f>
        <v>43.598630136986301</v>
      </c>
      <c r="I217" s="102">
        <f>(Inputs!$C$43/Model!I212)*Model!I213</f>
        <v>44.445205479452049</v>
      </c>
      <c r="J217" s="102">
        <f>(Inputs!$C$43/Model!J212)*Model!J213</f>
        <v>45.291780821917811</v>
      </c>
      <c r="K217" s="102">
        <f>(Inputs!$C$43/Model!K212)*Model!K213</f>
        <v>46.138356164383559</v>
      </c>
      <c r="L217" s="102">
        <f>(Inputs!$C$43/Model!L212)*Model!L213</f>
        <v>46.984931506849314</v>
      </c>
      <c r="M217" s="102">
        <f>(Inputs!$C$43/Model!M212)*Model!M213</f>
        <v>47.831506849315069</v>
      </c>
      <c r="N217" s="102">
        <f>(Inputs!$C$43/Model!N212)*Model!N213</f>
        <v>48.678082191780817</v>
      </c>
      <c r="O217" s="102">
        <f>(Inputs!$C$43/Model!O212)*Model!O213</f>
        <v>47.831506849315069</v>
      </c>
      <c r="P217" s="102">
        <f>(Inputs!$C$43/Model!P212)*Model!P213</f>
        <v>46.300684931506844</v>
      </c>
      <c r="Q217" s="102">
        <f>(Inputs!$C$43/Model!Q212)*Model!Q213</f>
        <v>45.466438356164375</v>
      </c>
      <c r="R217" s="102">
        <f>(Inputs!$C$43/Model!R212)*Model!R213</f>
        <v>44.632191780821913</v>
      </c>
      <c r="S217" s="102">
        <f>(Inputs!$C$43/Model!S212)*Model!S213</f>
        <v>43.797945205479451</v>
      </c>
      <c r="T217" s="102">
        <f>(Inputs!$C$43/Model!T212)*Model!T213</f>
        <v>42.963698630136975</v>
      </c>
      <c r="U217" s="102">
        <f>(Inputs!$C$43/Model!U212)*Model!U213</f>
        <v>42.129452054794513</v>
      </c>
      <c r="V217" s="102">
        <f>(Inputs!$C$43/Model!V212)*Model!V213</f>
        <v>41.295205479452051</v>
      </c>
      <c r="W217" s="102">
        <f>(Inputs!$C$43/Model!W212)*Model!W213</f>
        <v>40.460958904109582</v>
      </c>
      <c r="X217" s="102">
        <f>(Inputs!$C$43/Model!X212)*Model!X213</f>
        <v>39.62671232876712</v>
      </c>
      <c r="Y217" s="102">
        <f>(Inputs!$C$43/Model!Y212)*Model!Y213</f>
        <v>38.792465753424651</v>
      </c>
      <c r="Z217" s="102">
        <f>(Inputs!$C$43/Model!Z212)*Model!Z213</f>
        <v>38.37534246575342</v>
      </c>
      <c r="AA217" s="102">
        <f>(Inputs!$C$43/Model!AA212)*Model!AA213</f>
        <v>37.958219178082182</v>
      </c>
    </row>
    <row r="218" spans="1:27" s="36" customFormat="1" outlineLevel="1">
      <c r="B218" s="110" t="s">
        <v>76</v>
      </c>
      <c r="D218" s="102">
        <f>(Inputs!$C$45/365)*Model!D214</f>
        <v>-16.084931506849315</v>
      </c>
      <c r="E218" s="102">
        <f>(Inputs!$C$45/365)*Model!E214</f>
        <v>-16.423561643835615</v>
      </c>
      <c r="F218" s="102">
        <f>(Inputs!$C$45/365)*Model!F214</f>
        <v>-16.762191780821919</v>
      </c>
      <c r="G218" s="102">
        <f>(Inputs!$C$45/365)*Model!G214</f>
        <v>-17.100821917808219</v>
      </c>
      <c r="H218" s="102">
        <f>(Inputs!$C$45/365)*Model!H214</f>
        <v>-17.439452054794522</v>
      </c>
      <c r="I218" s="102">
        <f>(Inputs!$C$45/365)*Model!I214</f>
        <v>-17.778082191780822</v>
      </c>
      <c r="J218" s="102">
        <f>(Inputs!$C$45/365)*Model!J214</f>
        <v>-18.116712328767125</v>
      </c>
      <c r="K218" s="102">
        <f>(Inputs!$C$45/365)*Model!K214</f>
        <v>-18.455342465753425</v>
      </c>
      <c r="L218" s="102">
        <f>(Inputs!$C$45/365)*Model!L214</f>
        <v>-18.793972602739721</v>
      </c>
      <c r="M218" s="102">
        <f>(Inputs!$C$45/365)*Model!M214</f>
        <v>-19.132602739726028</v>
      </c>
      <c r="N218" s="102">
        <f>(Inputs!$C$45/365)*Model!N214</f>
        <v>-19.471232876712325</v>
      </c>
      <c r="O218" s="102">
        <f>(Inputs!$C$45/365)*Model!O214</f>
        <v>-19.132602739726028</v>
      </c>
      <c r="P218" s="102">
        <f>(Inputs!$C$45/365)*Model!P214</f>
        <v>-18.520273972602737</v>
      </c>
      <c r="Q218" s="102">
        <f>(Inputs!$C$45/365)*Model!Q214</f>
        <v>-18.186575342465751</v>
      </c>
      <c r="R218" s="102">
        <f>(Inputs!$C$45/365)*Model!R214</f>
        <v>-17.852876712328765</v>
      </c>
      <c r="S218" s="102">
        <f>(Inputs!$C$45/365)*Model!S214</f>
        <v>-17.519178082191779</v>
      </c>
      <c r="T218" s="102">
        <f>(Inputs!$C$45/365)*Model!T214</f>
        <v>-17.185479452054789</v>
      </c>
      <c r="U218" s="102">
        <f>(Inputs!$C$45/365)*Model!U214</f>
        <v>-16.851780821917806</v>
      </c>
      <c r="V218" s="102">
        <f>(Inputs!$C$45/365)*Model!V214</f>
        <v>-16.51808219178082</v>
      </c>
      <c r="W218" s="102">
        <f>(Inputs!$C$45/365)*Model!W214</f>
        <v>-16.184383561643831</v>
      </c>
      <c r="X218" s="102">
        <f>(Inputs!$C$45/365)*Model!X214</f>
        <v>-15.850684931506848</v>
      </c>
      <c r="Y218" s="102">
        <f>(Inputs!$C$45/365)*Model!Y214</f>
        <v>-15.51698630136986</v>
      </c>
      <c r="Z218" s="102">
        <f>(Inputs!$C$45/365)*Model!Z214</f>
        <v>-15.350136986301369</v>
      </c>
      <c r="AA218" s="102">
        <f>(Inputs!$C$45/365)*Model!AA214</f>
        <v>-15.183287671232874</v>
      </c>
    </row>
    <row r="219" spans="1:27" s="36" customFormat="1" outlineLevel="1">
      <c r="B219" s="110" t="s">
        <v>138</v>
      </c>
      <c r="D219" s="102">
        <f>(Inputs!$C$44/Model!D212)*Model!D214</f>
        <v>-32.169863013698631</v>
      </c>
      <c r="E219" s="102">
        <f>(Inputs!$C$44/Model!E212)*Model!E214</f>
        <v>-32.847123287671231</v>
      </c>
      <c r="F219" s="102">
        <f>(Inputs!$C$44/Model!F212)*Model!F214</f>
        <v>-33.524383561643837</v>
      </c>
      <c r="G219" s="102">
        <f>(Inputs!$C$44/Model!G212)*Model!G214</f>
        <v>-34.201643835616437</v>
      </c>
      <c r="H219" s="102">
        <f>(Inputs!$C$44/Model!H212)*Model!H214</f>
        <v>-34.878904109589044</v>
      </c>
      <c r="I219" s="102">
        <f>(Inputs!$C$44/Model!I212)*Model!I214</f>
        <v>-35.556164383561644</v>
      </c>
      <c r="J219" s="102">
        <f>(Inputs!$C$44/Model!J212)*Model!J214</f>
        <v>-36.23342465753425</v>
      </c>
      <c r="K219" s="102">
        <f>(Inputs!$C$44/Model!K212)*Model!K214</f>
        <v>-36.91068493150685</v>
      </c>
      <c r="L219" s="102">
        <f>(Inputs!$C$44/Model!L212)*Model!L214</f>
        <v>-37.587945205479443</v>
      </c>
      <c r="M219" s="102">
        <f>(Inputs!$C$44/Model!M212)*Model!M214</f>
        <v>-38.265205479452057</v>
      </c>
      <c r="N219" s="102">
        <f>(Inputs!$C$44/Model!N212)*Model!N214</f>
        <v>-38.942465753424649</v>
      </c>
      <c r="O219" s="102">
        <f>(Inputs!$C$44/Model!O212)*Model!O214</f>
        <v>-38.265205479452057</v>
      </c>
      <c r="P219" s="102">
        <f>(Inputs!$C$44/Model!P212)*Model!P214</f>
        <v>-37.040547945205475</v>
      </c>
      <c r="Q219" s="102">
        <f>(Inputs!$C$44/Model!Q212)*Model!Q214</f>
        <v>-36.373150684931502</v>
      </c>
      <c r="R219" s="102">
        <f>(Inputs!$C$44/Model!R212)*Model!R214</f>
        <v>-35.70575342465753</v>
      </c>
      <c r="S219" s="102">
        <f>(Inputs!$C$44/Model!S212)*Model!S214</f>
        <v>-35.038356164383558</v>
      </c>
      <c r="T219" s="102">
        <f>(Inputs!$C$44/Model!T212)*Model!T214</f>
        <v>-34.370958904109578</v>
      </c>
      <c r="U219" s="102">
        <f>(Inputs!$C$44/Model!U212)*Model!U214</f>
        <v>-33.703561643835613</v>
      </c>
      <c r="V219" s="102">
        <f>(Inputs!$C$44/Model!V212)*Model!V214</f>
        <v>-33.036164383561641</v>
      </c>
      <c r="W219" s="102">
        <f>(Inputs!$C$44/Model!W212)*Model!W214</f>
        <v>-32.368767123287661</v>
      </c>
      <c r="X219" s="102">
        <f>(Inputs!$C$44/Model!X212)*Model!X214</f>
        <v>-31.701369863013696</v>
      </c>
      <c r="Y219" s="102">
        <f>(Inputs!$C$44/Model!Y212)*Model!Y214</f>
        <v>-31.03397260273972</v>
      </c>
      <c r="Z219" s="102">
        <f>(Inputs!$C$44/Model!Z212)*Model!Z214</f>
        <v>-30.700273972602737</v>
      </c>
      <c r="AA219" s="102">
        <f>(Inputs!$C$44/Model!AA212)*Model!AA214</f>
        <v>-30.366575342465747</v>
      </c>
    </row>
    <row r="220" spans="1:27" s="36" customFormat="1" outlineLevel="1">
      <c r="B220" s="110"/>
    </row>
    <row r="221" spans="1:27" s="36" customFormat="1" outlineLevel="1">
      <c r="B221" s="139"/>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row>
    <row r="222" spans="1:27" s="36" customFormat="1" outlineLevel="1">
      <c r="B222" s="110"/>
    </row>
    <row r="223" spans="1:27" s="36" customFormat="1" outlineLevel="1">
      <c r="B223" s="54" t="s">
        <v>139</v>
      </c>
    </row>
    <row r="224" spans="1:27" s="36" customFormat="1" outlineLevel="1">
      <c r="B224" s="110" t="s">
        <v>137</v>
      </c>
      <c r="D224" s="102">
        <f>C217-D217</f>
        <v>-40.212328767123289</v>
      </c>
      <c r="E224" s="126">
        <f t="shared" ref="E224:AA224" si="98">D217-E217</f>
        <v>-0.84657534246574784</v>
      </c>
      <c r="F224" s="126">
        <f t="shared" si="98"/>
        <v>-0.84657534246575494</v>
      </c>
      <c r="G224" s="126">
        <f t="shared" si="98"/>
        <v>-0.84657534246575494</v>
      </c>
      <c r="H224" s="126">
        <f t="shared" si="98"/>
        <v>-0.84657534246575494</v>
      </c>
      <c r="I224" s="126">
        <f t="shared" si="98"/>
        <v>-0.84657534246574784</v>
      </c>
      <c r="J224" s="126">
        <f t="shared" si="98"/>
        <v>-0.84657534246576205</v>
      </c>
      <c r="K224" s="126">
        <f t="shared" si="98"/>
        <v>-0.84657534246574784</v>
      </c>
      <c r="L224" s="126">
        <f t="shared" si="98"/>
        <v>-0.84657534246575494</v>
      </c>
      <c r="M224" s="126">
        <f t="shared" si="98"/>
        <v>-0.84657534246575494</v>
      </c>
      <c r="N224" s="126">
        <f t="shared" si="98"/>
        <v>-0.84657534246574784</v>
      </c>
      <c r="O224" s="126">
        <f t="shared" si="98"/>
        <v>0.84657534246574784</v>
      </c>
      <c r="P224" s="126">
        <f t="shared" si="98"/>
        <v>1.5308219178082254</v>
      </c>
      <c r="Q224" s="126">
        <f t="shared" si="98"/>
        <v>0.83424657534246904</v>
      </c>
      <c r="R224" s="126">
        <f t="shared" si="98"/>
        <v>0.83424657534246194</v>
      </c>
      <c r="S224" s="126">
        <f t="shared" si="98"/>
        <v>0.83424657534246194</v>
      </c>
      <c r="T224" s="126">
        <f t="shared" si="98"/>
        <v>0.83424657534247615</v>
      </c>
      <c r="U224" s="126">
        <f t="shared" si="98"/>
        <v>0.83424657534246194</v>
      </c>
      <c r="V224" s="126">
        <f t="shared" si="98"/>
        <v>0.83424657534246194</v>
      </c>
      <c r="W224" s="126">
        <f t="shared" si="98"/>
        <v>0.83424657534246904</v>
      </c>
      <c r="X224" s="126">
        <f t="shared" si="98"/>
        <v>0.83424657534246194</v>
      </c>
      <c r="Y224" s="126">
        <f t="shared" si="98"/>
        <v>0.83424657534246904</v>
      </c>
      <c r="Z224" s="126">
        <f t="shared" si="98"/>
        <v>0.41712328767123097</v>
      </c>
      <c r="AA224" s="126">
        <f t="shared" si="98"/>
        <v>0.41712328767123807</v>
      </c>
    </row>
    <row r="225" spans="1:27" s="36" customFormat="1" outlineLevel="1">
      <c r="B225" s="110" t="s">
        <v>76</v>
      </c>
      <c r="D225" s="102">
        <f>C218-D218</f>
        <v>16.084931506849315</v>
      </c>
      <c r="E225" s="126">
        <f t="shared" ref="E225:AA225" si="99">D218-E218</f>
        <v>0.33863013698629985</v>
      </c>
      <c r="F225" s="126">
        <f t="shared" si="99"/>
        <v>0.3386301369863034</v>
      </c>
      <c r="G225" s="126">
        <f t="shared" si="99"/>
        <v>0.33863013698629985</v>
      </c>
      <c r="H225" s="126">
        <f t="shared" si="99"/>
        <v>0.3386301369863034</v>
      </c>
      <c r="I225" s="126">
        <f t="shared" si="99"/>
        <v>0.33863013698629985</v>
      </c>
      <c r="J225" s="126">
        <f t="shared" si="99"/>
        <v>0.3386301369863034</v>
      </c>
      <c r="K225" s="126">
        <f t="shared" si="99"/>
        <v>0.33863013698629985</v>
      </c>
      <c r="L225" s="126">
        <f t="shared" si="99"/>
        <v>0.33863013698629629</v>
      </c>
      <c r="M225" s="126">
        <f t="shared" si="99"/>
        <v>0.33863013698630695</v>
      </c>
      <c r="N225" s="126">
        <f t="shared" si="99"/>
        <v>0.33863013698629629</v>
      </c>
      <c r="O225" s="126">
        <f t="shared" si="99"/>
        <v>-0.33863013698629629</v>
      </c>
      <c r="P225" s="126">
        <f t="shared" si="99"/>
        <v>-0.61232876712329087</v>
      </c>
      <c r="Q225" s="126">
        <f t="shared" si="99"/>
        <v>-0.3336986301369862</v>
      </c>
      <c r="R225" s="126">
        <f t="shared" si="99"/>
        <v>-0.3336986301369862</v>
      </c>
      <c r="S225" s="126">
        <f t="shared" si="99"/>
        <v>-0.3336986301369862</v>
      </c>
      <c r="T225" s="126">
        <f t="shared" si="99"/>
        <v>-0.33369863013698975</v>
      </c>
      <c r="U225" s="126">
        <f t="shared" si="99"/>
        <v>-0.33369863013698264</v>
      </c>
      <c r="V225" s="126">
        <f t="shared" si="99"/>
        <v>-0.3336986301369862</v>
      </c>
      <c r="W225" s="126">
        <f t="shared" si="99"/>
        <v>-0.33369863013698975</v>
      </c>
      <c r="X225" s="126">
        <f t="shared" si="99"/>
        <v>-0.33369863013698264</v>
      </c>
      <c r="Y225" s="126">
        <f t="shared" si="99"/>
        <v>-0.33369863013698797</v>
      </c>
      <c r="Z225" s="126">
        <f t="shared" si="99"/>
        <v>-0.16684931506849132</v>
      </c>
      <c r="AA225" s="126">
        <f t="shared" si="99"/>
        <v>-0.16684931506849487</v>
      </c>
    </row>
    <row r="226" spans="1:27" s="36" customFormat="1" outlineLevel="1">
      <c r="B226" s="110" t="s">
        <v>138</v>
      </c>
      <c r="D226" s="102">
        <f>D219-C219</f>
        <v>-32.169863013698631</v>
      </c>
      <c r="E226" s="126">
        <f t="shared" ref="E226:AA226" si="100">E219-D219</f>
        <v>-0.67726027397259969</v>
      </c>
      <c r="F226" s="126">
        <f t="shared" si="100"/>
        <v>-0.6772602739726068</v>
      </c>
      <c r="G226" s="126">
        <f t="shared" si="100"/>
        <v>-0.67726027397259969</v>
      </c>
      <c r="H226" s="126">
        <f t="shared" si="100"/>
        <v>-0.6772602739726068</v>
      </c>
      <c r="I226" s="126">
        <f t="shared" si="100"/>
        <v>-0.67726027397259969</v>
      </c>
      <c r="J226" s="126">
        <f t="shared" si="100"/>
        <v>-0.6772602739726068</v>
      </c>
      <c r="K226" s="126">
        <f t="shared" si="100"/>
        <v>-0.67726027397259969</v>
      </c>
      <c r="L226" s="126">
        <f t="shared" si="100"/>
        <v>-0.67726027397259259</v>
      </c>
      <c r="M226" s="126">
        <f t="shared" si="100"/>
        <v>-0.6772602739726139</v>
      </c>
      <c r="N226" s="126">
        <f t="shared" si="100"/>
        <v>-0.67726027397259259</v>
      </c>
      <c r="O226" s="126">
        <f t="shared" si="100"/>
        <v>0.67726027397259259</v>
      </c>
      <c r="P226" s="126">
        <f t="shared" si="100"/>
        <v>1.2246575342465817</v>
      </c>
      <c r="Q226" s="126">
        <f t="shared" si="100"/>
        <v>0.66739726027397239</v>
      </c>
      <c r="R226" s="126">
        <f t="shared" si="100"/>
        <v>0.66739726027397239</v>
      </c>
      <c r="S226" s="126">
        <f t="shared" si="100"/>
        <v>0.66739726027397239</v>
      </c>
      <c r="T226" s="126">
        <f t="shared" si="100"/>
        <v>0.6673972602739795</v>
      </c>
      <c r="U226" s="126">
        <f t="shared" si="100"/>
        <v>0.66739726027396529</v>
      </c>
      <c r="V226" s="126">
        <f t="shared" si="100"/>
        <v>0.66739726027397239</v>
      </c>
      <c r="W226" s="126">
        <f t="shared" si="100"/>
        <v>0.6673972602739795</v>
      </c>
      <c r="X226" s="126">
        <f t="shared" si="100"/>
        <v>0.66739726027396529</v>
      </c>
      <c r="Y226" s="126">
        <f t="shared" si="100"/>
        <v>0.66739726027397595</v>
      </c>
      <c r="Z226" s="126">
        <f t="shared" si="100"/>
        <v>0.33369863013698264</v>
      </c>
      <c r="AA226" s="126">
        <f t="shared" si="100"/>
        <v>0.33369863013698975</v>
      </c>
    </row>
    <row r="227" spans="1:27" s="36" customFormat="1" ht="16.2" outlineLevel="1" thickBot="1">
      <c r="B227" s="110" t="s">
        <v>140</v>
      </c>
      <c r="D227" s="140">
        <f>SUM(D224:D226)</f>
        <v>-56.297260273972604</v>
      </c>
      <c r="E227" s="141">
        <f t="shared" ref="E227:AA227" si="101">SUM(E224:E226)</f>
        <v>-1.1852054794520477</v>
      </c>
      <c r="F227" s="141">
        <f t="shared" si="101"/>
        <v>-1.1852054794520583</v>
      </c>
      <c r="G227" s="141">
        <f t="shared" si="101"/>
        <v>-1.1852054794520548</v>
      </c>
      <c r="H227" s="141">
        <f t="shared" si="101"/>
        <v>-1.1852054794520583</v>
      </c>
      <c r="I227" s="141">
        <f t="shared" si="101"/>
        <v>-1.1852054794520477</v>
      </c>
      <c r="J227" s="141">
        <f t="shared" si="101"/>
        <v>-1.1852054794520654</v>
      </c>
      <c r="K227" s="141">
        <f t="shared" si="101"/>
        <v>-1.1852054794520477</v>
      </c>
      <c r="L227" s="141">
        <f t="shared" si="101"/>
        <v>-1.1852054794520512</v>
      </c>
      <c r="M227" s="141">
        <f t="shared" si="101"/>
        <v>-1.1852054794520619</v>
      </c>
      <c r="N227" s="141">
        <f t="shared" si="101"/>
        <v>-1.1852054794520441</v>
      </c>
      <c r="O227" s="141">
        <f t="shared" si="101"/>
        <v>1.1852054794520441</v>
      </c>
      <c r="P227" s="141">
        <f t="shared" si="101"/>
        <v>2.1431506849315163</v>
      </c>
      <c r="Q227" s="141">
        <f t="shared" si="101"/>
        <v>1.1679452054794552</v>
      </c>
      <c r="R227" s="141">
        <f t="shared" si="101"/>
        <v>1.1679452054794481</v>
      </c>
      <c r="S227" s="141">
        <f t="shared" si="101"/>
        <v>1.1679452054794481</v>
      </c>
      <c r="T227" s="141">
        <f t="shared" si="101"/>
        <v>1.1679452054794659</v>
      </c>
      <c r="U227" s="141">
        <f t="shared" si="101"/>
        <v>1.1679452054794446</v>
      </c>
      <c r="V227" s="141">
        <f t="shared" si="101"/>
        <v>1.1679452054794481</v>
      </c>
      <c r="W227" s="141">
        <f t="shared" si="101"/>
        <v>1.1679452054794588</v>
      </c>
      <c r="X227" s="141">
        <f t="shared" si="101"/>
        <v>1.1679452054794446</v>
      </c>
      <c r="Y227" s="141">
        <f t="shared" si="101"/>
        <v>1.167945205479457</v>
      </c>
      <c r="Z227" s="141">
        <f t="shared" si="101"/>
        <v>0.58397260273972229</v>
      </c>
      <c r="AA227" s="141">
        <f t="shared" si="101"/>
        <v>0.58397260273973295</v>
      </c>
    </row>
    <row r="228" spans="1:27" s="36" customFormat="1" outlineLevel="1">
      <c r="B228" s="110"/>
    </row>
    <row r="229" spans="1:27" s="36" customFormat="1" outlineLevel="1"/>
    <row r="230" spans="1:27">
      <c r="A230" s="27" t="s">
        <v>38</v>
      </c>
      <c r="B230" s="44" t="s">
        <v>147</v>
      </c>
      <c r="C230" s="44"/>
      <c r="D230" s="35"/>
      <c r="E230" s="35"/>
      <c r="F230" s="37"/>
      <c r="G230" s="37"/>
      <c r="H230" s="37"/>
      <c r="I230" s="37"/>
      <c r="J230" s="37"/>
      <c r="K230" s="37"/>
      <c r="L230" s="37"/>
      <c r="M230" s="37"/>
      <c r="N230" s="37"/>
      <c r="O230" s="37"/>
      <c r="P230" s="37"/>
      <c r="Q230" s="37"/>
      <c r="R230" s="37"/>
      <c r="S230" s="37"/>
      <c r="T230" s="37"/>
      <c r="U230" s="37"/>
      <c r="V230" s="37"/>
      <c r="W230" s="37"/>
      <c r="X230" s="37"/>
      <c r="Y230" s="37"/>
      <c r="Z230" s="37"/>
      <c r="AA230" s="37"/>
    </row>
    <row r="231" spans="1:27" s="36" customFormat="1"/>
    <row r="232" spans="1:27" s="113" customFormat="1" ht="15" customHeight="1" outlineLevel="1">
      <c r="B232" s="48" t="s">
        <v>148</v>
      </c>
    </row>
    <row r="233" spans="1:27" s="113" customFormat="1" ht="15" customHeight="1" outlineLevel="1">
      <c r="B233" s="128"/>
      <c r="E233" s="127"/>
    </row>
    <row r="234" spans="1:27" s="113" customFormat="1" ht="15" customHeight="1" outlineLevel="1">
      <c r="A234" s="130"/>
      <c r="B234" s="36" t="s">
        <v>149</v>
      </c>
      <c r="C234" s="121"/>
      <c r="D234" s="121"/>
      <c r="E234" s="131">
        <v>3.5000000000000003E-2</v>
      </c>
    </row>
    <row r="235" spans="1:27" s="113" customFormat="1" ht="15" customHeight="1" outlineLevel="1">
      <c r="A235" s="130"/>
      <c r="B235" s="36" t="s">
        <v>150</v>
      </c>
      <c r="E235" s="132">
        <v>1.2</v>
      </c>
    </row>
    <row r="236" spans="1:27" s="113" customFormat="1" ht="15" customHeight="1" outlineLevel="1">
      <c r="A236" s="130"/>
      <c r="B236" s="36" t="s">
        <v>151</v>
      </c>
      <c r="E236" s="133">
        <v>6.5000000000000002E-2</v>
      </c>
    </row>
    <row r="237" spans="1:27" s="113" customFormat="1" ht="15" customHeight="1" outlineLevel="1">
      <c r="A237" s="130"/>
      <c r="B237" s="129" t="s">
        <v>152</v>
      </c>
      <c r="C237" s="115"/>
      <c r="D237" s="115"/>
      <c r="E237" s="134">
        <f>E234+(E235*E236)</f>
        <v>0.113</v>
      </c>
    </row>
    <row r="238" spans="1:27" s="113" customFormat="1" ht="15" customHeight="1" outlineLevel="1">
      <c r="B238" s="124"/>
      <c r="C238" s="125"/>
    </row>
    <row r="239" spans="1:27" s="113" customFormat="1" ht="15" customHeight="1" outlineLevel="1">
      <c r="B239" s="114"/>
    </row>
    <row r="240" spans="1:27" s="113" customFormat="1" ht="15" customHeight="1" outlineLevel="1">
      <c r="B240" s="48" t="s">
        <v>153</v>
      </c>
    </row>
    <row r="241" spans="2:5" s="113" customFormat="1" ht="15" customHeight="1" outlineLevel="1">
      <c r="B241" s="124"/>
    </row>
    <row r="242" spans="2:5" s="113" customFormat="1" ht="15" customHeight="1" outlineLevel="1">
      <c r="B242" s="120" t="s">
        <v>154</v>
      </c>
      <c r="C242" s="121"/>
      <c r="D242" s="121"/>
      <c r="E242" s="131">
        <v>0.3</v>
      </c>
    </row>
    <row r="243" spans="2:5" s="113" customFormat="1" ht="15" customHeight="1" outlineLevel="1">
      <c r="B243" s="122" t="s">
        <v>155</v>
      </c>
      <c r="E243" s="135">
        <f>1-E242</f>
        <v>0.7</v>
      </c>
    </row>
    <row r="244" spans="2:5" s="113" customFormat="1" ht="15" customHeight="1" outlineLevel="1">
      <c r="B244" s="122" t="s">
        <v>156</v>
      </c>
      <c r="E244" s="133">
        <v>0.15</v>
      </c>
    </row>
    <row r="245" spans="2:5" s="113" customFormat="1" ht="15" customHeight="1" outlineLevel="1">
      <c r="B245" s="122" t="s">
        <v>141</v>
      </c>
      <c r="E245" s="133">
        <v>0.28999999999999998</v>
      </c>
    </row>
    <row r="246" spans="2:5" s="113" customFormat="1" ht="15" customHeight="1" outlineLevel="1">
      <c r="B246" s="122" t="s">
        <v>157</v>
      </c>
      <c r="E246" s="135">
        <f>+E244*(1-E245)</f>
        <v>0.1065</v>
      </c>
    </row>
    <row r="247" spans="2:5" s="113" customFormat="1" ht="15" customHeight="1" outlineLevel="1">
      <c r="B247" s="122" t="s">
        <v>152</v>
      </c>
      <c r="E247" s="135">
        <f>+E237</f>
        <v>0.113</v>
      </c>
    </row>
    <row r="248" spans="2:5" s="113" customFormat="1" ht="15" customHeight="1" outlineLevel="1">
      <c r="B248" s="123" t="s">
        <v>158</v>
      </c>
      <c r="C248" s="115"/>
      <c r="D248" s="115"/>
      <c r="E248" s="134">
        <f>+(E243*E247)+(E246*E242)</f>
        <v>0.11105000000000001</v>
      </c>
    </row>
    <row r="249" spans="2:5">
      <c r="B249" s="112"/>
      <c r="C249" s="111"/>
    </row>
    <row r="250" spans="2:5">
      <c r="B250" s="112"/>
      <c r="C250" s="111"/>
    </row>
    <row r="251" spans="2:5">
      <c r="B251" s="112"/>
      <c r="C251" s="111"/>
    </row>
    <row r="252" spans="2:5">
      <c r="B252" s="112"/>
      <c r="C252" s="111"/>
    </row>
    <row r="253" spans="2:5">
      <c r="B253" s="112"/>
      <c r="C253" s="111"/>
    </row>
    <row r="254" spans="2:5">
      <c r="B254" s="112"/>
      <c r="C254" s="111"/>
    </row>
    <row r="255" spans="2:5">
      <c r="B255" s="112"/>
      <c r="C255" s="111"/>
    </row>
    <row r="256" spans="2:5">
      <c r="B256" s="112"/>
      <c r="C256" s="111"/>
    </row>
    <row r="257" spans="2:3">
      <c r="B257" s="112"/>
      <c r="C257" s="111"/>
    </row>
    <row r="258" spans="2:3">
      <c r="B258" s="112"/>
      <c r="C258" s="111"/>
    </row>
    <row r="259" spans="2:3">
      <c r="B259" s="112"/>
      <c r="C259" s="111"/>
    </row>
  </sheetData>
  <conditionalFormatting sqref="D88:AA90">
    <cfRule type="expression" dxfId="0" priority="20">
      <formula>D88&lt;&gt;0</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anchor moveWithCells="1">
                  <from>
                    <xdr:col>3</xdr:col>
                    <xdr:colOff>236220</xdr:colOff>
                    <xdr:row>3</xdr:row>
                    <xdr:rowOff>0</xdr:rowOff>
                  </from>
                  <to>
                    <xdr:col>4</xdr:col>
                    <xdr:colOff>533400</xdr:colOff>
                    <xdr:row>4</xdr:row>
                    <xdr:rowOff>7620</xdr:rowOff>
                  </to>
                </anchor>
              </controlPr>
            </control>
          </mc:Choice>
        </mc:AlternateContent>
        <mc:AlternateContent xmlns:mc="http://schemas.openxmlformats.org/markup-compatibility/2006">
          <mc:Choice Requires="x14">
            <control shapeId="4100" r:id="rId5" name="Drop Down 4">
              <controlPr defaultSize="0" autoLine="0" autoPict="0">
                <anchor moveWithCells="1">
                  <from>
                    <xdr:col>2</xdr:col>
                    <xdr:colOff>0</xdr:colOff>
                    <xdr:row>206</xdr:row>
                    <xdr:rowOff>129540</xdr:rowOff>
                  </from>
                  <to>
                    <xdr:col>3</xdr:col>
                    <xdr:colOff>167640</xdr:colOff>
                    <xdr:row>208</xdr:row>
                    <xdr:rowOff>7620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1</vt:i4>
      </vt:variant>
    </vt:vector>
  </HeadingPairs>
  <TitlesOfParts>
    <vt:vector size="5" baseType="lpstr">
      <vt:lpstr>Cover</vt:lpstr>
      <vt:lpstr>Outputs</vt:lpstr>
      <vt:lpstr>Inputs</vt:lpstr>
      <vt:lpstr>Model</vt:lpstr>
      <vt:lpstr>BalanceCheck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Konstantin Evtushenko</dc:creator>
  <cp:keywords/>
  <dc:description/>
  <cp:lastModifiedBy>Konstantin Evtushenko</cp:lastModifiedBy>
  <cp:revision/>
  <cp:lastPrinted>2026-08-17T20:42:56Z</cp:lastPrinted>
  <dcterms:created xsi:type="dcterms:W3CDTF">2026-07-17T20:54:11Z</dcterms:created>
  <dcterms:modified xsi:type="dcterms:W3CDTF">2026-08-30T23:26:56Z</dcterms:modified>
  <cp:category/>
  <cp:contentStatus/>
</cp:coreProperties>
</file>